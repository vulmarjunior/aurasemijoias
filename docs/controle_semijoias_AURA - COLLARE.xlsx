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ibopvh-my.sharepoint.com/personal/annecarol_bc_ibopvh_onmicrosoft_com/Documents/semi-joias/"/>
    </mc:Choice>
  </mc:AlternateContent>
  <xr:revisionPtr revIDLastSave="729" documentId="11_0A4C03CFEC8231555C841ABBDD06009213D9DFB8" xr6:coauthVersionLast="47" xr6:coauthVersionMax="47" xr10:uidLastSave="{C795F0A0-D0E4-46F0-A7B4-2001836C3734}"/>
  <bookViews>
    <workbookView xWindow="-108" yWindow="-108" windowWidth="23256" windowHeight="12576" xr2:uid="{00000000-000D-0000-FFFF-FFFF00000000}"/>
  </bookViews>
  <sheets>
    <sheet name="Controle de Estoque" sheetId="1" r:id="rId1"/>
    <sheet name="Clientes" sheetId="2" r:id="rId2"/>
    <sheet name="Vendas Realizadas" sheetId="3" r:id="rId3"/>
    <sheet name="Entrada e Saíd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9" i="1" l="1"/>
  <c r="K90" i="1"/>
  <c r="K91" i="1"/>
  <c r="K92" i="1"/>
  <c r="K93" i="1"/>
  <c r="H89" i="1"/>
  <c r="I89" i="1" s="1"/>
  <c r="J89" i="1" s="1"/>
  <c r="H90" i="1"/>
  <c r="I90" i="1" s="1"/>
  <c r="J90" i="1" s="1"/>
  <c r="H91" i="1"/>
  <c r="I91" i="1" s="1"/>
  <c r="J91" i="1" s="1"/>
  <c r="H92" i="1"/>
  <c r="I92" i="1" s="1"/>
  <c r="J92" i="1" s="1"/>
  <c r="H93" i="1"/>
  <c r="I93" i="1" s="1"/>
  <c r="J93" i="1" s="1"/>
  <c r="K82" i="1"/>
  <c r="K83" i="1"/>
  <c r="K84" i="1"/>
  <c r="K85" i="1"/>
  <c r="K86" i="1"/>
  <c r="K87" i="1"/>
  <c r="K88" i="1"/>
  <c r="K94" i="1"/>
  <c r="H82" i="1"/>
  <c r="I82" i="1" s="1"/>
  <c r="J82" i="1" s="1"/>
  <c r="H83" i="1"/>
  <c r="I83" i="1" s="1"/>
  <c r="J83" i="1" s="1"/>
  <c r="H84" i="1"/>
  <c r="I84" i="1" s="1"/>
  <c r="J84" i="1" s="1"/>
  <c r="H85" i="1"/>
  <c r="I85" i="1" s="1"/>
  <c r="J85" i="1" s="1"/>
  <c r="H86" i="1"/>
  <c r="I86" i="1" s="1"/>
  <c r="J86" i="1" s="1"/>
  <c r="H87" i="1"/>
  <c r="I87" i="1" s="1"/>
  <c r="J87" i="1" s="1"/>
  <c r="H88" i="1"/>
  <c r="I88" i="1" s="1"/>
  <c r="J88" i="1" s="1"/>
  <c r="H94" i="1"/>
  <c r="I94" i="1" s="1"/>
  <c r="J94" i="1" s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H62" i="1"/>
  <c r="I62" i="1" s="1"/>
  <c r="J62" i="1" s="1"/>
  <c r="H63" i="1"/>
  <c r="I63" i="1" s="1"/>
  <c r="J63" i="1" s="1"/>
  <c r="H64" i="1"/>
  <c r="I64" i="1" s="1"/>
  <c r="J64" i="1" s="1"/>
  <c r="H65" i="1"/>
  <c r="I65" i="1" s="1"/>
  <c r="J65" i="1" s="1"/>
  <c r="H66" i="1"/>
  <c r="I66" i="1" s="1"/>
  <c r="J66" i="1" s="1"/>
  <c r="H67" i="1"/>
  <c r="I67" i="1" s="1"/>
  <c r="J67" i="1" s="1"/>
  <c r="H68" i="1"/>
  <c r="I68" i="1" s="1"/>
  <c r="J68" i="1" s="1"/>
  <c r="H69" i="1"/>
  <c r="I69" i="1" s="1"/>
  <c r="J69" i="1" s="1"/>
  <c r="H70" i="1"/>
  <c r="I70" i="1" s="1"/>
  <c r="J70" i="1" s="1"/>
  <c r="H71" i="1"/>
  <c r="I71" i="1" s="1"/>
  <c r="J71" i="1" s="1"/>
  <c r="H72" i="1"/>
  <c r="I72" i="1" s="1"/>
  <c r="J72" i="1" s="1"/>
  <c r="H73" i="1"/>
  <c r="I73" i="1" s="1"/>
  <c r="J73" i="1" s="1"/>
  <c r="H74" i="1"/>
  <c r="I74" i="1" s="1"/>
  <c r="J74" i="1" s="1"/>
  <c r="H75" i="1"/>
  <c r="I75" i="1" s="1"/>
  <c r="J75" i="1" s="1"/>
  <c r="H76" i="1"/>
  <c r="I76" i="1" s="1"/>
  <c r="J76" i="1" s="1"/>
  <c r="H77" i="1"/>
  <c r="I77" i="1" s="1"/>
  <c r="J77" i="1" s="1"/>
  <c r="K78" i="1"/>
  <c r="K79" i="1"/>
  <c r="K80" i="1"/>
  <c r="K81" i="1"/>
  <c r="K95" i="1"/>
  <c r="K96" i="1"/>
  <c r="K97" i="1"/>
  <c r="H78" i="1"/>
  <c r="I78" i="1" s="1"/>
  <c r="J78" i="1" s="1"/>
  <c r="H79" i="1"/>
  <c r="I79" i="1" s="1"/>
  <c r="J79" i="1" s="1"/>
  <c r="H80" i="1"/>
  <c r="I80" i="1" s="1"/>
  <c r="J80" i="1" s="1"/>
  <c r="H81" i="1"/>
  <c r="I81" i="1" s="1"/>
  <c r="J81" i="1" s="1"/>
  <c r="H95" i="1"/>
  <c r="I95" i="1" s="1"/>
  <c r="J95" i="1" s="1"/>
  <c r="H96" i="1"/>
  <c r="I96" i="1" s="1"/>
  <c r="J96" i="1" s="1"/>
  <c r="H97" i="1"/>
  <c r="I97" i="1" s="1"/>
  <c r="J97" i="1" s="1"/>
  <c r="H41" i="1"/>
  <c r="I41" i="1" s="1"/>
  <c r="J41" i="1" s="1"/>
  <c r="K41" i="1"/>
  <c r="K40" i="1"/>
  <c r="K42" i="1"/>
  <c r="K43" i="1"/>
  <c r="K44" i="1"/>
  <c r="K45" i="1"/>
  <c r="K46" i="1"/>
  <c r="K47" i="1"/>
  <c r="K48" i="1"/>
  <c r="K49" i="1"/>
  <c r="K50" i="1"/>
  <c r="K51" i="1"/>
  <c r="H40" i="1"/>
  <c r="I40" i="1" s="1"/>
  <c r="J40" i="1" s="1"/>
  <c r="H42" i="1"/>
  <c r="I42" i="1" s="1"/>
  <c r="J42" i="1" s="1"/>
  <c r="H43" i="1"/>
  <c r="I43" i="1" s="1"/>
  <c r="J43" i="1" s="1"/>
  <c r="I44" i="1"/>
  <c r="J44" i="1" s="1"/>
  <c r="H45" i="1"/>
  <c r="I45" i="1" s="1"/>
  <c r="J45" i="1" s="1"/>
  <c r="H46" i="1"/>
  <c r="I46" i="1" s="1"/>
  <c r="J46" i="1" s="1"/>
  <c r="H47" i="1"/>
  <c r="I47" i="1" s="1"/>
  <c r="J47" i="1" s="1"/>
  <c r="H48" i="1"/>
  <c r="I48" i="1" s="1"/>
  <c r="J48" i="1" s="1"/>
  <c r="H49" i="1"/>
  <c r="I49" i="1" s="1"/>
  <c r="J49" i="1" s="1"/>
  <c r="H50" i="1"/>
  <c r="I50" i="1" s="1"/>
  <c r="J50" i="1" s="1"/>
  <c r="H51" i="1"/>
  <c r="I51" i="1" s="1"/>
  <c r="J51" i="1" s="1"/>
  <c r="H2" i="1"/>
  <c r="K2" i="1"/>
  <c r="F103" i="1"/>
  <c r="K98" i="1"/>
  <c r="H98" i="1"/>
  <c r="I98" i="1" s="1"/>
  <c r="J98" i="1" s="1"/>
  <c r="K61" i="1"/>
  <c r="H61" i="1"/>
  <c r="I61" i="1" s="1"/>
  <c r="J61" i="1" s="1"/>
  <c r="K60" i="1"/>
  <c r="H60" i="1"/>
  <c r="I60" i="1" s="1"/>
  <c r="J60" i="1" s="1"/>
  <c r="K59" i="1"/>
  <c r="H59" i="1"/>
  <c r="I59" i="1" s="1"/>
  <c r="J59" i="1" s="1"/>
  <c r="K58" i="1"/>
  <c r="H58" i="1"/>
  <c r="I58" i="1" s="1"/>
  <c r="J58" i="1" s="1"/>
  <c r="K57" i="1"/>
  <c r="H57" i="1"/>
  <c r="I57" i="1" s="1"/>
  <c r="J57" i="1" s="1"/>
  <c r="K56" i="1"/>
  <c r="H56" i="1"/>
  <c r="I56" i="1" s="1"/>
  <c r="J56" i="1" s="1"/>
  <c r="K55" i="1"/>
  <c r="H55" i="1"/>
  <c r="I55" i="1" s="1"/>
  <c r="J55" i="1" s="1"/>
  <c r="K54" i="1"/>
  <c r="H54" i="1"/>
  <c r="I54" i="1" s="1"/>
  <c r="J54" i="1" s="1"/>
  <c r="K53" i="1"/>
  <c r="H53" i="1"/>
  <c r="I53" i="1" s="1"/>
  <c r="J53" i="1" s="1"/>
  <c r="K52" i="1"/>
  <c r="H52" i="1"/>
  <c r="I52" i="1" s="1"/>
  <c r="J52" i="1" s="1"/>
  <c r="K39" i="1"/>
  <c r="H39" i="1"/>
  <c r="I39" i="1" s="1"/>
  <c r="J39" i="1" s="1"/>
  <c r="K38" i="1"/>
  <c r="H38" i="1"/>
  <c r="I38" i="1" s="1"/>
  <c r="J38" i="1" s="1"/>
  <c r="K37" i="1"/>
  <c r="H37" i="1"/>
  <c r="I37" i="1" s="1"/>
  <c r="J37" i="1" s="1"/>
  <c r="K36" i="1"/>
  <c r="H36" i="1"/>
  <c r="I36" i="1" s="1"/>
  <c r="J36" i="1" s="1"/>
  <c r="K35" i="1"/>
  <c r="H35" i="1"/>
  <c r="I35" i="1" s="1"/>
  <c r="J35" i="1" s="1"/>
  <c r="K34" i="1"/>
  <c r="H34" i="1"/>
  <c r="I34" i="1" s="1"/>
  <c r="J34" i="1" s="1"/>
  <c r="K33" i="1"/>
  <c r="H33" i="1"/>
  <c r="I33" i="1" s="1"/>
  <c r="J33" i="1" s="1"/>
  <c r="K32" i="1"/>
  <c r="H32" i="1"/>
  <c r="I32" i="1" s="1"/>
  <c r="J32" i="1" s="1"/>
  <c r="K31" i="1"/>
  <c r="H31" i="1"/>
  <c r="I31" i="1" s="1"/>
  <c r="J31" i="1" s="1"/>
  <c r="K30" i="1"/>
  <c r="H30" i="1"/>
  <c r="I30" i="1" s="1"/>
  <c r="J30" i="1" s="1"/>
  <c r="K29" i="1"/>
  <c r="H29" i="1"/>
  <c r="I29" i="1" s="1"/>
  <c r="J29" i="1" s="1"/>
  <c r="K28" i="1"/>
  <c r="H28" i="1"/>
  <c r="I28" i="1" s="1"/>
  <c r="J28" i="1" s="1"/>
  <c r="K27" i="1"/>
  <c r="H27" i="1"/>
  <c r="I27" i="1" s="1"/>
  <c r="J27" i="1" s="1"/>
  <c r="K26" i="1"/>
  <c r="H26" i="1"/>
  <c r="I26" i="1" s="1"/>
  <c r="J26" i="1" s="1"/>
  <c r="K25" i="1"/>
  <c r="H25" i="1"/>
  <c r="I25" i="1" s="1"/>
  <c r="J25" i="1" s="1"/>
  <c r="K24" i="1"/>
  <c r="H24" i="1"/>
  <c r="I24" i="1" s="1"/>
  <c r="J24" i="1" s="1"/>
  <c r="K23" i="1"/>
  <c r="H23" i="1"/>
  <c r="I23" i="1" s="1"/>
  <c r="J23" i="1" s="1"/>
  <c r="K22" i="1"/>
  <c r="H22" i="1"/>
  <c r="I22" i="1" s="1"/>
  <c r="J22" i="1" s="1"/>
  <c r="K21" i="1"/>
  <c r="H21" i="1"/>
  <c r="I21" i="1" s="1"/>
  <c r="J21" i="1" s="1"/>
  <c r="K20" i="1"/>
  <c r="H20" i="1"/>
  <c r="I20" i="1" s="1"/>
  <c r="J20" i="1" s="1"/>
  <c r="K19" i="1"/>
  <c r="H19" i="1"/>
  <c r="I19" i="1" s="1"/>
  <c r="J19" i="1" s="1"/>
  <c r="K18" i="1"/>
  <c r="H18" i="1"/>
  <c r="I18" i="1" s="1"/>
  <c r="J18" i="1" s="1"/>
  <c r="K17" i="1"/>
  <c r="H17" i="1"/>
  <c r="I17" i="1" s="1"/>
  <c r="J17" i="1" s="1"/>
  <c r="K16" i="1"/>
  <c r="H16" i="1"/>
  <c r="I16" i="1" s="1"/>
  <c r="J16" i="1" s="1"/>
  <c r="K15" i="1"/>
  <c r="H15" i="1"/>
  <c r="I15" i="1" s="1"/>
  <c r="J15" i="1" s="1"/>
  <c r="K14" i="1"/>
  <c r="H14" i="1"/>
  <c r="I14" i="1" s="1"/>
  <c r="J14" i="1" s="1"/>
  <c r="K13" i="1"/>
  <c r="H13" i="1"/>
  <c r="I13" i="1" s="1"/>
  <c r="J13" i="1" s="1"/>
  <c r="K12" i="1"/>
  <c r="H12" i="1"/>
  <c r="I12" i="1" s="1"/>
  <c r="J12" i="1" s="1"/>
  <c r="K11" i="1"/>
  <c r="H11" i="1"/>
  <c r="I11" i="1" s="1"/>
  <c r="J11" i="1" s="1"/>
  <c r="K10" i="1"/>
  <c r="H10" i="1"/>
  <c r="I10" i="1" s="1"/>
  <c r="J10" i="1" s="1"/>
  <c r="K9" i="1"/>
  <c r="H9" i="1"/>
  <c r="I9" i="1" s="1"/>
  <c r="J9" i="1" s="1"/>
  <c r="K8" i="1"/>
  <c r="H8" i="1"/>
  <c r="I8" i="1" s="1"/>
  <c r="J8" i="1" s="1"/>
  <c r="K7" i="1"/>
  <c r="H7" i="1"/>
  <c r="I7" i="1" s="1"/>
  <c r="J7" i="1" s="1"/>
  <c r="K6" i="1"/>
  <c r="H6" i="1"/>
  <c r="I6" i="1" s="1"/>
  <c r="J6" i="1" s="1"/>
  <c r="K5" i="1"/>
  <c r="H5" i="1"/>
  <c r="I5" i="1" s="1"/>
  <c r="J5" i="1" s="1"/>
  <c r="K4" i="1"/>
  <c r="H4" i="1"/>
  <c r="I4" i="1" s="1"/>
  <c r="J4" i="1" s="1"/>
  <c r="K3" i="1"/>
  <c r="H3" i="1"/>
  <c r="I3" i="1" s="1"/>
  <c r="J3" i="1" s="1"/>
  <c r="H103" i="1" l="1"/>
  <c r="I2" i="1"/>
  <c r="J2" i="1" s="1"/>
  <c r="J103" i="1" s="1"/>
</calcChain>
</file>

<file path=xl/sharedStrings.xml><?xml version="1.0" encoding="utf-8"?>
<sst xmlns="http://schemas.openxmlformats.org/spreadsheetml/2006/main" count="330" uniqueCount="220">
  <si>
    <t>Código da peça</t>
  </si>
  <si>
    <t>Nome da peça</t>
  </si>
  <si>
    <t>Categoria</t>
  </si>
  <si>
    <t>Quantidade em estoque</t>
  </si>
  <si>
    <t>Preço de custo</t>
  </si>
  <si>
    <t>% Lucro</t>
  </si>
  <si>
    <t>Valor de venda</t>
  </si>
  <si>
    <t>Lucro por unidade</t>
  </si>
  <si>
    <t>Lucro total</t>
  </si>
  <si>
    <t>Status</t>
  </si>
  <si>
    <t>Totais Gerais</t>
  </si>
  <si>
    <t>Nome</t>
  </si>
  <si>
    <t>Telefone</t>
  </si>
  <si>
    <t>Instagram</t>
  </si>
  <si>
    <t>Última compra</t>
  </si>
  <si>
    <t>Observações</t>
  </si>
  <si>
    <t>Data</t>
  </si>
  <si>
    <t>Cliente</t>
  </si>
  <si>
    <t>Produto</t>
  </si>
  <si>
    <t>Quantidade</t>
  </si>
  <si>
    <t>Valor total</t>
  </si>
  <si>
    <t>Forma de pagamento</t>
  </si>
  <si>
    <t>Movimentação</t>
  </si>
  <si>
    <t>Responsável</t>
  </si>
  <si>
    <t>Referencia da peça</t>
  </si>
  <si>
    <t>CLR00000070A</t>
  </si>
  <si>
    <t>NA-18D COR DOURADO; TAMANHO 18</t>
  </si>
  <si>
    <t>ANEL</t>
  </si>
  <si>
    <t>CLR102AN-D</t>
  </si>
  <si>
    <t>ANEL AJUSTAVEL ELOS TRANSPASSADOS</t>
  </si>
  <si>
    <t>CLR00000063A</t>
  </si>
  <si>
    <t>NA-21D COR DOURADO TAMANHO 21</t>
  </si>
  <si>
    <t>CLR116AN-D</t>
  </si>
  <si>
    <t>ANEL COROA - D-22</t>
  </si>
  <si>
    <t>CLR188AN-D</t>
  </si>
  <si>
    <t>ANEIS SOLITARIOS DIVERSOS D-18</t>
  </si>
  <si>
    <t>CLR122AN-D</t>
  </si>
  <si>
    <t>ANEL APARADOR 2 FILEIRAS D-18</t>
  </si>
  <si>
    <t>CLR189AN-D</t>
  </si>
  <si>
    <t>ANEIS CRAVEJADOS DIVERSOS D-19</t>
  </si>
  <si>
    <t>CLR00000026A</t>
  </si>
  <si>
    <t>CLR106AN-P</t>
  </si>
  <si>
    <t>ANEL AJUSTAVEL LOVE</t>
  </si>
  <si>
    <t>CLR08AN-15-P</t>
  </si>
  <si>
    <t>AN-15-D COR DOURADO TAMNHO 15</t>
  </si>
  <si>
    <t>AN-15-P COR: SILVER CHALICE; TAMANHO 15</t>
  </si>
  <si>
    <t>CLR00000001A</t>
  </si>
  <si>
    <t>AN-13-P-B COR SILVER CHALICE; COLOR CRISTAL</t>
  </si>
  <si>
    <t>CLR129AN-P</t>
  </si>
  <si>
    <t>TRIO DE ANEIS TIANA - P-13</t>
  </si>
  <si>
    <t>CLR179AN-P</t>
  </si>
  <si>
    <t>ANEL SOLITARIO PONTUDO - P-23</t>
  </si>
  <si>
    <t>CLR125AN-P</t>
  </si>
  <si>
    <t>ANEL ELOS LISOS -P-15</t>
  </si>
  <si>
    <t>CLR117AN-P</t>
  </si>
  <si>
    <t>ANEL TUBO COM ZIRCONIA QUADRADA - P-16</t>
  </si>
  <si>
    <t>CLR104AN-P</t>
  </si>
  <si>
    <t>ANEL AJUSTADO FAVO CRAVEJADO</t>
  </si>
  <si>
    <t>CLR00000108A</t>
  </si>
  <si>
    <t>AN-P-19 COR SILVER CHALICE; TAMANHO 19</t>
  </si>
  <si>
    <t>CLR00000110A</t>
  </si>
  <si>
    <t>AN ANEL AJUSTAVEL ORGANICO</t>
  </si>
  <si>
    <t>CLR105AN-P</t>
  </si>
  <si>
    <t>ANEL AJUSTAVEL CORAÇÃO E PONTO DE LUZ</t>
  </si>
  <si>
    <t>CLR112AN-P</t>
  </si>
  <si>
    <t>ANEL 2 FILEIRAS DE ESFERAS E 1 DE ELOS - P15</t>
  </si>
  <si>
    <t>CLR94AN-P</t>
  </si>
  <si>
    <t>ANEL AJUSTAVEL ELOS E PONTO DE LUZ - P-19</t>
  </si>
  <si>
    <t>CLR140AN-P</t>
  </si>
  <si>
    <t>ANEL QUADRADO COM PONTO DE LUZ - P-19</t>
  </si>
  <si>
    <t>CLR00000045A</t>
  </si>
  <si>
    <t>AN-16P COR SILVER CHALICE; TAMANHO 16</t>
  </si>
  <si>
    <t>CLR1621N-P</t>
  </si>
  <si>
    <t>ANEL FITA LISA - P-19</t>
  </si>
  <si>
    <t>CLR00000049A</t>
  </si>
  <si>
    <t>AN-15D COR DOURADO; TAM 15</t>
  </si>
  <si>
    <t>CLR156AN-26</t>
  </si>
  <si>
    <t>ANEL INOX SOLITARIO PEDRA CORAÇÃO - 26</t>
  </si>
  <si>
    <t>CLR00000051A</t>
  </si>
  <si>
    <t>AN-16-D COR DOURADO; TAM 16</t>
  </si>
  <si>
    <t>CLR00000095A</t>
  </si>
  <si>
    <t>AN-D COR DOURADO</t>
  </si>
  <si>
    <t>CLR94AN-D</t>
  </si>
  <si>
    <t>ANEL AJUSTAVEL ELOS E PONTO DE LUZ -D</t>
  </si>
  <si>
    <t>CLR105AN-D</t>
  </si>
  <si>
    <t>CLR101AN-D</t>
  </si>
  <si>
    <t>ANEL BARBARA ASA DE BORBOLETA</t>
  </si>
  <si>
    <t>CLR99AN-D</t>
  </si>
  <si>
    <t>ANEL BARBARA COM ZIRCONIA</t>
  </si>
  <si>
    <t>CLR33CJ</t>
  </si>
  <si>
    <t>CONJUNTO DE TREVOS</t>
  </si>
  <si>
    <t>CONJUNTO</t>
  </si>
  <si>
    <t>CLR15CJ-P</t>
  </si>
  <si>
    <t>CONJ COM PINGENTE DE CORAÇÃO CRAV - P</t>
  </si>
  <si>
    <t>CLR161BR-D</t>
  </si>
  <si>
    <t>BRINCO TRIO DE ARGOLINHAS CRAV - D</t>
  </si>
  <si>
    <t>BRINCO</t>
  </si>
  <si>
    <t>CLR369BR-D</t>
  </si>
  <si>
    <t>BRINCO TRIO GOTA CRAV - D (PRATA)</t>
  </si>
  <si>
    <t>CLR438BR</t>
  </si>
  <si>
    <t>BRINCO TRIO DE TREVOS CRAV</t>
  </si>
  <si>
    <t>CLR68BR-D</t>
  </si>
  <si>
    <t>BRINCO TRIO PONTO DE LUZ - D</t>
  </si>
  <si>
    <t>CLR420BR-P</t>
  </si>
  <si>
    <t>BRINCO TRIO CORAÇÃO LISO - P</t>
  </si>
  <si>
    <t>CLR168BR-D</t>
  </si>
  <si>
    <t>BRINCO DUPLO DE ARGOLINHAS BAMBU - P</t>
  </si>
  <si>
    <t>CLR417BR</t>
  </si>
  <si>
    <t>BRINCO TRIO DE ARGOLAS REDONDAS</t>
  </si>
  <si>
    <t>CLR138BR-P</t>
  </si>
  <si>
    <t>BRINCO TRIO ARGOLA EM FORMA DE GOTA - P</t>
  </si>
  <si>
    <t>CLR401BR</t>
  </si>
  <si>
    <t>BRINCO TRIO LISO COM TREVOS CRAV</t>
  </si>
  <si>
    <t>CLR287BR-P</t>
  </si>
  <si>
    <t>BR-P COR SILVER CHALICE</t>
  </si>
  <si>
    <t>CLR287BR-D</t>
  </si>
  <si>
    <t>BR-D COR SILVER CHALICE</t>
  </si>
  <si>
    <t xml:space="preserve">BR-D COR DOURADO </t>
  </si>
  <si>
    <t>CLR00000262B</t>
  </si>
  <si>
    <t xml:space="preserve">BR-P COR SILVER CHALICE </t>
  </si>
  <si>
    <t>CLR280BR-P</t>
  </si>
  <si>
    <t>CLR280BR-D</t>
  </si>
  <si>
    <t>CLR176BR-P</t>
  </si>
  <si>
    <t>CLR176BR-D</t>
  </si>
  <si>
    <t>CLR305BR-D</t>
  </si>
  <si>
    <t>BRINCO BARBARA REDONDO PINDURADO - D</t>
  </si>
  <si>
    <t>CLR357BR-P</t>
  </si>
  <si>
    <t>BRINCO DE CORAÇÃO COM ONDAS-P</t>
  </si>
  <si>
    <t>CLR153BR-P</t>
  </si>
  <si>
    <t>BRINCO ARGOLA EM FORMA DE U - P</t>
  </si>
  <si>
    <t>CLR153BR-D</t>
  </si>
  <si>
    <t>BRINCO ARGOLA EM FORMA DE U - D</t>
  </si>
  <si>
    <t>CLR282BR-P</t>
  </si>
  <si>
    <t>CLR277BR-D</t>
  </si>
  <si>
    <t>CLR277BR-P</t>
  </si>
  <si>
    <t>CLR324BR-P</t>
  </si>
  <si>
    <t>BRINCO ARGOLINHA DE TREVOS CRAV - P</t>
  </si>
  <si>
    <t>CLR111BR-D-R</t>
  </si>
  <si>
    <t>BRINCO ARGOLINHA DE ZIRCONIA ROXO - D-R</t>
  </si>
  <si>
    <t>CLR411BR-M</t>
  </si>
  <si>
    <t>BRINCO TRIO CORAÇOES DE CLICK - M - P</t>
  </si>
  <si>
    <t>BRINCO TRIO CORAÇOES DE CLICK - M - D</t>
  </si>
  <si>
    <t>CLR282BR-D</t>
  </si>
  <si>
    <t>CLR000000275B</t>
  </si>
  <si>
    <t>CLR210BR-D</t>
  </si>
  <si>
    <t>BRINCO BALÃO CRAVEJADO - D</t>
  </si>
  <si>
    <t>CLR210BR-P</t>
  </si>
  <si>
    <t>BRINCO BALÃO CRAVEJADO - P</t>
  </si>
  <si>
    <t>CLR27C0-DM</t>
  </si>
  <si>
    <t>CORDÃO BAIANO 3MM - DM</t>
  </si>
  <si>
    <t>COLAR</t>
  </si>
  <si>
    <t>CLR241CO-P</t>
  </si>
  <si>
    <t>COLAR CHOCKER ESFERAS VAZIAS - P</t>
  </si>
  <si>
    <t>CLR155PU</t>
  </si>
  <si>
    <t>PULSEIRA RIVIERA ZIRCONIA QUADRADA</t>
  </si>
  <si>
    <t>PULSEIRA</t>
  </si>
  <si>
    <t>CLR134PU-D</t>
  </si>
  <si>
    <t>PULSEIRA MALHA BAMBU - D</t>
  </si>
  <si>
    <t>CLR142PU-P</t>
  </si>
  <si>
    <t>PULSEIRA ESFERAS VAZIAS - P</t>
  </si>
  <si>
    <t>CLR18PU</t>
  </si>
  <si>
    <t>PULSEIRA MALHA DE CORAÇÕES TRABALHADOS</t>
  </si>
  <si>
    <t>CLR14TOR-D</t>
  </si>
  <si>
    <t>TORNOZELEIRA COM FRASE LOVE - D</t>
  </si>
  <si>
    <t>TORNOZELEIRA</t>
  </si>
  <si>
    <t>CLR24PU-D</t>
  </si>
  <si>
    <t>PULSEIRA SNAKE FIO FINO - D</t>
  </si>
  <si>
    <t>CLR15TOR-1-P</t>
  </si>
  <si>
    <t>TORNOZELEIRA FITA LISA - P</t>
  </si>
  <si>
    <t>CLR12TOR-P</t>
  </si>
  <si>
    <t>TORNOZELEIRA COM LAÇO E PEROLA - P</t>
  </si>
  <si>
    <t>CLR272CO</t>
  </si>
  <si>
    <t>COLAR RIVIERA 3 PONTAS CRAV PEQUENO</t>
  </si>
  <si>
    <t>CLR274CO</t>
  </si>
  <si>
    <t>COLAR RIVIERA GRAVATINHA</t>
  </si>
  <si>
    <t>CLR154PU-D</t>
  </si>
  <si>
    <t>PULSEIRA ELO PT C/ PINJ CORAÇÃO CRAV - D</t>
  </si>
  <si>
    <t>CLR27PG-D-VZ</t>
  </si>
  <si>
    <t>27-PG-D-VZ COR DOURADO MOD VENEZIANA</t>
  </si>
  <si>
    <t>CLR161CO-D</t>
  </si>
  <si>
    <t>COLAR GRAVATINHA MALHA FLEXIVEL - D</t>
  </si>
  <si>
    <t>CLR275CO</t>
  </si>
  <si>
    <t>COLAR GRAVATINHA ZIRCONIA CORAÇÃO</t>
  </si>
  <si>
    <t>CLR162CO-P</t>
  </si>
  <si>
    <t>COLAR GRAVATINHA DE FITA TRAB COM COR</t>
  </si>
  <si>
    <t>CLR93CO-D</t>
  </si>
  <si>
    <t>COLAR DE ESFERAS-D</t>
  </si>
  <si>
    <t>CLR247CO-P</t>
  </si>
  <si>
    <t>COLAR MASCULINO ELO 3PI - P</t>
  </si>
  <si>
    <t>CLR164CO-D</t>
  </si>
  <si>
    <t>COLAR MALHA DE CINTO -D</t>
  </si>
  <si>
    <t>CLR157CO-P</t>
  </si>
  <si>
    <t>CHOKER DE ELOS GRANDES TRANSPASSADOS - P</t>
  </si>
  <si>
    <t>CLR92PU-D</t>
  </si>
  <si>
    <t>PU-D COR DOURADO</t>
  </si>
  <si>
    <t>CLR67PG-P</t>
  </si>
  <si>
    <t>PINGENTE MENINO AZUL VENEZIANA - 45 - P</t>
  </si>
  <si>
    <t>CLR22CO-D</t>
  </si>
  <si>
    <t>COLAR CHOKER FITA MEDIA - P</t>
  </si>
  <si>
    <t>COLAR CHOKER DE NAVETTES - D</t>
  </si>
  <si>
    <t>CLR146CO-P</t>
  </si>
  <si>
    <t>COLAR DE PEROLAS - P</t>
  </si>
  <si>
    <t>CLR03CO-P</t>
  </si>
  <si>
    <t>CLR71PU-P</t>
  </si>
  <si>
    <t>PULSEIRA RIVIERA GOTA AJUSTAVEL - P</t>
  </si>
  <si>
    <t>CLR58BRA-D</t>
  </si>
  <si>
    <t>BRACELETE P</t>
  </si>
  <si>
    <t>CLR60BRA</t>
  </si>
  <si>
    <t>BRACELETE DOURADO CRAV</t>
  </si>
  <si>
    <t>Carine IBO</t>
  </si>
  <si>
    <t>Claudia IBO</t>
  </si>
  <si>
    <t>colar 359,80</t>
  </si>
  <si>
    <t>colar 179,80</t>
  </si>
  <si>
    <t>2x</t>
  </si>
  <si>
    <t>3x</t>
  </si>
  <si>
    <t>Anne</t>
  </si>
  <si>
    <t>Anne/jess/Mãe</t>
  </si>
  <si>
    <t>Anne 2</t>
  </si>
  <si>
    <t>jessica</t>
  </si>
  <si>
    <t>jessica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</si>
</sst>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7D1128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Normal" xfId="0" builtinId="0"/>
  </cellStyles>
  <dxfs count="1"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3"/>
  <sheetViews>
    <sheetView tabSelected="1" topLeftCell="A78" zoomScale="90" zoomScaleNormal="90" workbookViewId="0">
      <selection activeCell="N58" sqref="N58:N89"/>
    </sheetView>
  </sheetViews>
  <sheetFormatPr defaultRowHeight="14.4" x14ac:dyDescent="0.3"/>
  <cols>
    <col min="1" max="1" width="14.33203125" customWidth="1"/>
    <col min="2" max="2" width="17.6640625" customWidth="1"/>
    <col min="3" max="3" width="40.77734375" customWidth="1"/>
    <col min="4" max="4" width="13.6640625" customWidth="1"/>
    <col min="5" max="5" width="21.21875" customWidth="1"/>
    <col min="6" max="6" width="14.33203125" customWidth="1"/>
    <col min="7" max="7" width="9.33203125" customWidth="1"/>
    <col min="8" max="8" width="15.33203125" customWidth="1"/>
    <col min="9" max="9" width="16.44140625" customWidth="1"/>
    <col min="10" max="10" width="12.6640625" customWidth="1"/>
    <col min="11" max="11" width="20.109375" customWidth="1"/>
  </cols>
  <sheetData>
    <row r="1" spans="1:12" x14ac:dyDescent="0.3">
      <c r="A1" s="1" t="s">
        <v>0</v>
      </c>
      <c r="B1" s="1" t="s">
        <v>24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2" x14ac:dyDescent="0.3">
      <c r="A2" s="2">
        <v>110298</v>
      </c>
      <c r="B2" s="2" t="s">
        <v>25</v>
      </c>
      <c r="C2" s="2" t="s">
        <v>26</v>
      </c>
      <c r="D2" s="2" t="s">
        <v>27</v>
      </c>
      <c r="E2" s="2">
        <v>1</v>
      </c>
      <c r="F2" s="2">
        <v>59.9</v>
      </c>
      <c r="G2" s="2">
        <v>1</v>
      </c>
      <c r="H2" s="5">
        <f t="shared" ref="H2:H33" si="0">F2+(F2*G2)</f>
        <v>119.8</v>
      </c>
      <c r="I2" s="2">
        <f t="shared" ref="I2:I33" si="1">H2-F2</f>
        <v>59.9</v>
      </c>
      <c r="J2" s="2">
        <f t="shared" ref="J2:J33" si="2">E2*I2</f>
        <v>59.9</v>
      </c>
      <c r="K2" s="2" t="str">
        <f>IF(E2=0,"Esgotado",IF(E2&lt;=3,"Baixa no estoque","Disponível"))</f>
        <v>Baixa no estoque</v>
      </c>
    </row>
    <row r="3" spans="1:12" x14ac:dyDescent="0.3">
      <c r="A3" s="2">
        <v>130279</v>
      </c>
      <c r="B3" s="2" t="s">
        <v>28</v>
      </c>
      <c r="C3" s="2" t="s">
        <v>29</v>
      </c>
      <c r="D3" s="2" t="s">
        <v>27</v>
      </c>
      <c r="E3" s="2">
        <v>1</v>
      </c>
      <c r="F3" s="2">
        <v>69.900000000000006</v>
      </c>
      <c r="G3" s="2">
        <v>1</v>
      </c>
      <c r="H3" s="5">
        <f t="shared" si="0"/>
        <v>139.80000000000001</v>
      </c>
      <c r="I3" s="2">
        <f t="shared" si="1"/>
        <v>69.900000000000006</v>
      </c>
      <c r="J3" s="2">
        <f t="shared" si="2"/>
        <v>69.900000000000006</v>
      </c>
      <c r="K3" s="2" t="str">
        <f t="shared" ref="K3:K33" si="3">IF(E3=0,"Esgotado",IF(E3&lt;=3,"Baixa no estoque","Disponível"))</f>
        <v>Baixa no estoque</v>
      </c>
    </row>
    <row r="4" spans="1:12" x14ac:dyDescent="0.3">
      <c r="A4" s="2">
        <v>110369</v>
      </c>
      <c r="B4" s="2" t="s">
        <v>30</v>
      </c>
      <c r="C4" s="2" t="s">
        <v>31</v>
      </c>
      <c r="D4" s="2" t="s">
        <v>27</v>
      </c>
      <c r="E4" s="2">
        <v>1</v>
      </c>
      <c r="F4" s="2">
        <v>79.900000000000006</v>
      </c>
      <c r="G4" s="2">
        <v>1</v>
      </c>
      <c r="H4" s="5">
        <f t="shared" si="0"/>
        <v>159.80000000000001</v>
      </c>
      <c r="I4" s="2">
        <f t="shared" si="1"/>
        <v>79.900000000000006</v>
      </c>
      <c r="J4" s="2">
        <f t="shared" si="2"/>
        <v>79.900000000000006</v>
      </c>
      <c r="K4" s="2" t="str">
        <f t="shared" si="3"/>
        <v>Baixa no estoque</v>
      </c>
    </row>
    <row r="5" spans="1:12" x14ac:dyDescent="0.3">
      <c r="A5" s="2">
        <v>110831</v>
      </c>
      <c r="B5" s="2" t="s">
        <v>32</v>
      </c>
      <c r="C5" s="2" t="s">
        <v>33</v>
      </c>
      <c r="D5" s="2" t="s">
        <v>27</v>
      </c>
      <c r="E5" s="2">
        <v>1</v>
      </c>
      <c r="F5" s="2">
        <v>81.900000000000006</v>
      </c>
      <c r="G5" s="2">
        <v>1</v>
      </c>
      <c r="H5" s="5">
        <f t="shared" si="0"/>
        <v>163.80000000000001</v>
      </c>
      <c r="I5" s="2">
        <f t="shared" si="1"/>
        <v>81.900000000000006</v>
      </c>
      <c r="J5" s="2">
        <f t="shared" si="2"/>
        <v>81.900000000000006</v>
      </c>
      <c r="K5" s="2" t="str">
        <f t="shared" si="3"/>
        <v>Baixa no estoque</v>
      </c>
    </row>
    <row r="6" spans="1:12" x14ac:dyDescent="0.3">
      <c r="A6" s="2">
        <v>180155</v>
      </c>
      <c r="B6" s="2" t="s">
        <v>34</v>
      </c>
      <c r="C6" s="2" t="s">
        <v>35</v>
      </c>
      <c r="D6" s="2" t="s">
        <v>27</v>
      </c>
      <c r="E6" s="2">
        <v>1</v>
      </c>
      <c r="F6" s="2">
        <v>79.900000000000006</v>
      </c>
      <c r="G6" s="2">
        <v>1</v>
      </c>
      <c r="H6" s="5">
        <f t="shared" si="0"/>
        <v>159.80000000000001</v>
      </c>
      <c r="I6" s="2">
        <f t="shared" si="1"/>
        <v>79.900000000000006</v>
      </c>
      <c r="J6" s="2">
        <f t="shared" si="2"/>
        <v>79.900000000000006</v>
      </c>
      <c r="K6" s="2" t="str">
        <f t="shared" si="3"/>
        <v>Baixa no estoque</v>
      </c>
    </row>
    <row r="7" spans="1:12" x14ac:dyDescent="0.3">
      <c r="A7" s="2">
        <v>110885</v>
      </c>
      <c r="B7" s="2" t="s">
        <v>36</v>
      </c>
      <c r="C7" s="2" t="s">
        <v>37</v>
      </c>
      <c r="D7" s="2" t="s">
        <v>27</v>
      </c>
      <c r="E7" s="2">
        <v>1</v>
      </c>
      <c r="F7" s="2">
        <v>79.900000000000006</v>
      </c>
      <c r="G7" s="2">
        <v>1</v>
      </c>
      <c r="H7" s="5">
        <f t="shared" si="0"/>
        <v>159.80000000000001</v>
      </c>
      <c r="I7" s="2">
        <f t="shared" si="1"/>
        <v>79.900000000000006</v>
      </c>
      <c r="J7" s="2">
        <f t="shared" si="2"/>
        <v>79.900000000000006</v>
      </c>
      <c r="K7" s="2" t="str">
        <f t="shared" si="3"/>
        <v>Baixa no estoque</v>
      </c>
    </row>
    <row r="8" spans="1:12" x14ac:dyDescent="0.3">
      <c r="A8" s="6">
        <v>260066</v>
      </c>
      <c r="B8" s="6" t="s">
        <v>38</v>
      </c>
      <c r="C8" s="6" t="s">
        <v>39</v>
      </c>
      <c r="D8" s="6" t="s">
        <v>27</v>
      </c>
      <c r="E8" s="6">
        <v>0</v>
      </c>
      <c r="F8" s="6">
        <v>69.900000000000006</v>
      </c>
      <c r="G8" s="6">
        <v>1</v>
      </c>
      <c r="H8" s="6">
        <f t="shared" si="0"/>
        <v>139.80000000000001</v>
      </c>
      <c r="I8" s="6">
        <f t="shared" si="1"/>
        <v>69.900000000000006</v>
      </c>
      <c r="J8" s="6">
        <f t="shared" si="2"/>
        <v>0</v>
      </c>
      <c r="K8" s="6" t="str">
        <f t="shared" si="3"/>
        <v>Esgotado</v>
      </c>
      <c r="L8" t="s">
        <v>215</v>
      </c>
    </row>
    <row r="9" spans="1:12" x14ac:dyDescent="0.3">
      <c r="A9" s="2">
        <v>110484</v>
      </c>
      <c r="B9" s="2" t="s">
        <v>40</v>
      </c>
      <c r="C9" s="2" t="s">
        <v>44</v>
      </c>
      <c r="D9" s="2" t="s">
        <v>27</v>
      </c>
      <c r="E9" s="2">
        <v>1</v>
      </c>
      <c r="F9" s="2">
        <v>65.900000000000006</v>
      </c>
      <c r="G9" s="2">
        <v>1</v>
      </c>
      <c r="H9" s="5">
        <f t="shared" si="0"/>
        <v>131.80000000000001</v>
      </c>
      <c r="I9" s="2">
        <f t="shared" si="1"/>
        <v>65.900000000000006</v>
      </c>
      <c r="J9" s="2">
        <f t="shared" si="2"/>
        <v>65.900000000000006</v>
      </c>
      <c r="K9" s="2" t="str">
        <f t="shared" si="3"/>
        <v>Baixa no estoque</v>
      </c>
    </row>
    <row r="10" spans="1:12" x14ac:dyDescent="0.3">
      <c r="A10" s="2">
        <v>130303</v>
      </c>
      <c r="B10" s="2" t="s">
        <v>41</v>
      </c>
      <c r="C10" s="2" t="s">
        <v>42</v>
      </c>
      <c r="D10" s="2" t="s">
        <v>27</v>
      </c>
      <c r="E10" s="2">
        <v>1</v>
      </c>
      <c r="F10" s="2">
        <v>59.9</v>
      </c>
      <c r="G10" s="2">
        <v>1</v>
      </c>
      <c r="H10" s="5">
        <f t="shared" si="0"/>
        <v>119.8</v>
      </c>
      <c r="I10" s="2">
        <f t="shared" si="1"/>
        <v>59.9</v>
      </c>
      <c r="J10" s="2">
        <f t="shared" si="2"/>
        <v>59.9</v>
      </c>
      <c r="K10" s="2" t="str">
        <f t="shared" si="3"/>
        <v>Baixa no estoque</v>
      </c>
    </row>
    <row r="11" spans="1:12" x14ac:dyDescent="0.3">
      <c r="A11" s="2">
        <v>110750</v>
      </c>
      <c r="B11" s="2" t="s">
        <v>43</v>
      </c>
      <c r="C11" s="2" t="s">
        <v>45</v>
      </c>
      <c r="D11" s="2" t="s">
        <v>27</v>
      </c>
      <c r="E11" s="2">
        <v>1</v>
      </c>
      <c r="F11" s="2">
        <v>49.9</v>
      </c>
      <c r="G11" s="2">
        <v>1</v>
      </c>
      <c r="H11" s="5">
        <f t="shared" si="0"/>
        <v>99.8</v>
      </c>
      <c r="I11" s="2">
        <f t="shared" si="1"/>
        <v>49.9</v>
      </c>
      <c r="J11" s="2">
        <f t="shared" si="2"/>
        <v>49.9</v>
      </c>
      <c r="K11" s="2" t="str">
        <f t="shared" si="3"/>
        <v>Baixa no estoque</v>
      </c>
    </row>
    <row r="12" spans="1:12" x14ac:dyDescent="0.3">
      <c r="A12" s="2">
        <v>110604</v>
      </c>
      <c r="B12" s="2" t="s">
        <v>46</v>
      </c>
      <c r="C12" s="2" t="s">
        <v>47</v>
      </c>
      <c r="D12" s="2" t="s">
        <v>27</v>
      </c>
      <c r="E12" s="2">
        <v>1</v>
      </c>
      <c r="F12" s="2">
        <v>45.9</v>
      </c>
      <c r="G12" s="2">
        <v>1</v>
      </c>
      <c r="H12" s="5">
        <f t="shared" si="0"/>
        <v>91.8</v>
      </c>
      <c r="I12" s="2">
        <f t="shared" si="1"/>
        <v>45.9</v>
      </c>
      <c r="J12" s="2">
        <f t="shared" si="2"/>
        <v>45.9</v>
      </c>
      <c r="K12" s="2" t="str">
        <f t="shared" si="3"/>
        <v>Baixa no estoque</v>
      </c>
    </row>
    <row r="13" spans="1:12" x14ac:dyDescent="0.3">
      <c r="A13" s="2">
        <v>110972</v>
      </c>
      <c r="B13" s="2" t="s">
        <v>48</v>
      </c>
      <c r="C13" s="2" t="s">
        <v>49</v>
      </c>
      <c r="D13" s="2" t="s">
        <v>27</v>
      </c>
      <c r="E13" s="2">
        <v>1</v>
      </c>
      <c r="F13" s="2">
        <v>89.9</v>
      </c>
      <c r="G13" s="2">
        <v>1</v>
      </c>
      <c r="H13" s="5">
        <f t="shared" si="0"/>
        <v>179.8</v>
      </c>
      <c r="I13" s="2">
        <f t="shared" si="1"/>
        <v>89.9</v>
      </c>
      <c r="J13" s="2">
        <f t="shared" si="2"/>
        <v>89.9</v>
      </c>
      <c r="K13" s="2" t="str">
        <f t="shared" si="3"/>
        <v>Baixa no estoque</v>
      </c>
    </row>
    <row r="14" spans="1:12" x14ac:dyDescent="0.3">
      <c r="A14" s="2">
        <v>80160</v>
      </c>
      <c r="B14" s="2" t="s">
        <v>50</v>
      </c>
      <c r="C14" s="2" t="s">
        <v>51</v>
      </c>
      <c r="D14" s="2" t="s">
        <v>27</v>
      </c>
      <c r="E14" s="2">
        <v>1</v>
      </c>
      <c r="F14" s="2">
        <v>75.900000000000006</v>
      </c>
      <c r="G14" s="2">
        <v>1</v>
      </c>
      <c r="H14" s="5">
        <f t="shared" si="0"/>
        <v>151.80000000000001</v>
      </c>
      <c r="I14" s="2">
        <f t="shared" si="1"/>
        <v>75.900000000000006</v>
      </c>
      <c r="J14" s="2">
        <f t="shared" si="2"/>
        <v>75.900000000000006</v>
      </c>
      <c r="K14" s="2" t="str">
        <f t="shared" si="3"/>
        <v>Baixa no estoque</v>
      </c>
    </row>
    <row r="15" spans="1:12" x14ac:dyDescent="0.3">
      <c r="A15" s="2">
        <v>110928</v>
      </c>
      <c r="B15" s="2" t="s">
        <v>52</v>
      </c>
      <c r="C15" s="2" t="s">
        <v>53</v>
      </c>
      <c r="D15" s="2" t="s">
        <v>27</v>
      </c>
      <c r="E15" s="2">
        <v>1</v>
      </c>
      <c r="F15" s="2">
        <v>55.9</v>
      </c>
      <c r="G15" s="2">
        <v>1</v>
      </c>
      <c r="H15" s="5">
        <f t="shared" si="0"/>
        <v>111.8</v>
      </c>
      <c r="I15" s="2">
        <f t="shared" si="1"/>
        <v>55.9</v>
      </c>
      <c r="J15" s="2">
        <f t="shared" si="2"/>
        <v>55.9</v>
      </c>
      <c r="K15" s="2" t="str">
        <f t="shared" si="3"/>
        <v>Baixa no estoque</v>
      </c>
    </row>
    <row r="16" spans="1:12" x14ac:dyDescent="0.3">
      <c r="A16" s="2">
        <v>110846</v>
      </c>
      <c r="B16" s="2" t="s">
        <v>54</v>
      </c>
      <c r="C16" s="2" t="s">
        <v>55</v>
      </c>
      <c r="D16" s="2" t="s">
        <v>27</v>
      </c>
      <c r="E16" s="2">
        <v>1</v>
      </c>
      <c r="F16" s="2">
        <v>69.900000000000006</v>
      </c>
      <c r="G16" s="2">
        <v>1</v>
      </c>
      <c r="H16" s="5">
        <f t="shared" si="0"/>
        <v>139.80000000000001</v>
      </c>
      <c r="I16" s="2">
        <f t="shared" si="1"/>
        <v>69.900000000000006</v>
      </c>
      <c r="J16" s="2">
        <f t="shared" si="2"/>
        <v>69.900000000000006</v>
      </c>
      <c r="K16" s="2" t="str">
        <f t="shared" si="3"/>
        <v>Baixa no estoque</v>
      </c>
    </row>
    <row r="17" spans="1:11" x14ac:dyDescent="0.3">
      <c r="A17" s="2">
        <v>130288</v>
      </c>
      <c r="B17" s="2" t="s">
        <v>56</v>
      </c>
      <c r="C17" s="2" t="s">
        <v>57</v>
      </c>
      <c r="D17" s="2" t="s">
        <v>27</v>
      </c>
      <c r="E17" s="2">
        <v>1</v>
      </c>
      <c r="F17" s="2">
        <v>79.900000000000006</v>
      </c>
      <c r="G17" s="2">
        <v>1</v>
      </c>
      <c r="H17" s="5">
        <f t="shared" si="0"/>
        <v>159.80000000000001</v>
      </c>
      <c r="I17" s="2">
        <f t="shared" si="1"/>
        <v>79.900000000000006</v>
      </c>
      <c r="J17" s="2">
        <f t="shared" si="2"/>
        <v>79.900000000000006</v>
      </c>
      <c r="K17" s="2" t="str">
        <f t="shared" si="3"/>
        <v>Baixa no estoque</v>
      </c>
    </row>
    <row r="18" spans="1:11" x14ac:dyDescent="0.3">
      <c r="A18" s="2">
        <v>130323</v>
      </c>
      <c r="B18" s="2" t="s">
        <v>58</v>
      </c>
      <c r="C18" s="2" t="s">
        <v>59</v>
      </c>
      <c r="D18" s="2" t="s">
        <v>27</v>
      </c>
      <c r="E18" s="2">
        <v>1</v>
      </c>
      <c r="F18" s="2">
        <v>81.900000000000006</v>
      </c>
      <c r="G18" s="2">
        <v>1</v>
      </c>
      <c r="H18" s="5">
        <f t="shared" si="0"/>
        <v>163.80000000000001</v>
      </c>
      <c r="I18" s="2">
        <f t="shared" si="1"/>
        <v>81.900000000000006</v>
      </c>
      <c r="J18" s="2">
        <f t="shared" si="2"/>
        <v>81.900000000000006</v>
      </c>
      <c r="K18" s="2" t="str">
        <f t="shared" si="3"/>
        <v>Baixa no estoque</v>
      </c>
    </row>
    <row r="19" spans="1:11" x14ac:dyDescent="0.3">
      <c r="A19" s="2">
        <v>110595</v>
      </c>
      <c r="B19" s="2" t="s">
        <v>60</v>
      </c>
      <c r="C19" s="2" t="s">
        <v>61</v>
      </c>
      <c r="D19" s="2" t="s">
        <v>27</v>
      </c>
      <c r="E19" s="2">
        <v>1</v>
      </c>
      <c r="F19" s="2">
        <v>79.900000000000006</v>
      </c>
      <c r="G19" s="2">
        <v>1</v>
      </c>
      <c r="H19" s="5">
        <f t="shared" si="0"/>
        <v>159.80000000000001</v>
      </c>
      <c r="I19" s="2">
        <f t="shared" si="1"/>
        <v>79.900000000000006</v>
      </c>
      <c r="J19" s="2">
        <f t="shared" si="2"/>
        <v>79.900000000000006</v>
      </c>
      <c r="K19" s="2" t="str">
        <f t="shared" si="3"/>
        <v>Baixa no estoque</v>
      </c>
    </row>
    <row r="20" spans="1:11" x14ac:dyDescent="0.3">
      <c r="A20" s="2">
        <v>130290</v>
      </c>
      <c r="B20" s="2" t="s">
        <v>62</v>
      </c>
      <c r="C20" s="2" t="s">
        <v>63</v>
      </c>
      <c r="D20" s="2" t="s">
        <v>27</v>
      </c>
      <c r="E20" s="2">
        <v>1</v>
      </c>
      <c r="F20" s="2">
        <v>59.9</v>
      </c>
      <c r="G20" s="2">
        <v>1</v>
      </c>
      <c r="H20" s="5">
        <f t="shared" si="0"/>
        <v>119.8</v>
      </c>
      <c r="I20" s="2">
        <f t="shared" si="1"/>
        <v>59.9</v>
      </c>
      <c r="J20" s="2">
        <f t="shared" si="2"/>
        <v>59.9</v>
      </c>
      <c r="K20" s="2" t="str">
        <f t="shared" si="3"/>
        <v>Baixa no estoque</v>
      </c>
    </row>
    <row r="21" spans="1:11" x14ac:dyDescent="0.3">
      <c r="A21" s="2">
        <v>110781</v>
      </c>
      <c r="B21" s="2" t="s">
        <v>64</v>
      </c>
      <c r="C21" s="2" t="s">
        <v>65</v>
      </c>
      <c r="D21" s="2" t="s">
        <v>27</v>
      </c>
      <c r="E21" s="2">
        <v>1</v>
      </c>
      <c r="F21" s="2">
        <v>69.900000000000006</v>
      </c>
      <c r="G21" s="2">
        <v>1</v>
      </c>
      <c r="H21" s="5">
        <f t="shared" si="0"/>
        <v>139.80000000000001</v>
      </c>
      <c r="I21" s="2">
        <f t="shared" si="1"/>
        <v>69.900000000000006</v>
      </c>
      <c r="J21" s="2">
        <f t="shared" si="2"/>
        <v>69.900000000000006</v>
      </c>
      <c r="K21" s="2" t="str">
        <f t="shared" si="3"/>
        <v>Baixa no estoque</v>
      </c>
    </row>
    <row r="22" spans="1:11" x14ac:dyDescent="0.3">
      <c r="A22" s="2">
        <v>130299</v>
      </c>
      <c r="B22" s="2" t="s">
        <v>66</v>
      </c>
      <c r="C22" s="2" t="s">
        <v>67</v>
      </c>
      <c r="D22" s="2" t="s">
        <v>27</v>
      </c>
      <c r="E22" s="2">
        <v>1</v>
      </c>
      <c r="F22" s="2">
        <v>61.9</v>
      </c>
      <c r="G22" s="2">
        <v>1</v>
      </c>
      <c r="H22" s="5">
        <f t="shared" si="0"/>
        <v>123.8</v>
      </c>
      <c r="I22" s="2">
        <f t="shared" si="1"/>
        <v>61.9</v>
      </c>
      <c r="J22" s="2">
        <f t="shared" si="2"/>
        <v>61.9</v>
      </c>
      <c r="K22" s="2" t="str">
        <f t="shared" si="3"/>
        <v>Baixa no estoque</v>
      </c>
    </row>
    <row r="23" spans="1:11" x14ac:dyDescent="0.3">
      <c r="A23" s="2">
        <v>190069</v>
      </c>
      <c r="B23" s="2" t="s">
        <v>68</v>
      </c>
      <c r="C23" s="2" t="s">
        <v>69</v>
      </c>
      <c r="D23" s="2" t="s">
        <v>27</v>
      </c>
      <c r="E23" s="2">
        <v>1</v>
      </c>
      <c r="F23" s="2">
        <v>69.900000000000006</v>
      </c>
      <c r="G23" s="2">
        <v>1</v>
      </c>
      <c r="H23" s="5">
        <f t="shared" si="0"/>
        <v>139.80000000000001</v>
      </c>
      <c r="I23" s="2">
        <f t="shared" si="1"/>
        <v>69.900000000000006</v>
      </c>
      <c r="J23" s="2">
        <f t="shared" si="2"/>
        <v>69.900000000000006</v>
      </c>
      <c r="K23" s="2" t="str">
        <f t="shared" si="3"/>
        <v>Baixa no estoque</v>
      </c>
    </row>
    <row r="24" spans="1:11" x14ac:dyDescent="0.3">
      <c r="A24" s="2">
        <v>120178</v>
      </c>
      <c r="B24" s="2" t="s">
        <v>70</v>
      </c>
      <c r="C24" s="2" t="s">
        <v>71</v>
      </c>
      <c r="D24" s="2" t="s">
        <v>27</v>
      </c>
      <c r="E24" s="2">
        <v>1</v>
      </c>
      <c r="F24" s="2">
        <v>59.9</v>
      </c>
      <c r="G24" s="2">
        <v>1</v>
      </c>
      <c r="H24" s="5">
        <f t="shared" si="0"/>
        <v>119.8</v>
      </c>
      <c r="I24" s="2">
        <f t="shared" si="1"/>
        <v>59.9</v>
      </c>
      <c r="J24" s="2">
        <f t="shared" si="2"/>
        <v>59.9</v>
      </c>
      <c r="K24" s="2" t="str">
        <f t="shared" si="3"/>
        <v>Baixa no estoque</v>
      </c>
    </row>
    <row r="25" spans="1:11" x14ac:dyDescent="0.3">
      <c r="A25" s="2">
        <v>80121</v>
      </c>
      <c r="B25" s="2" t="s">
        <v>72</v>
      </c>
      <c r="C25" s="2" t="s">
        <v>73</v>
      </c>
      <c r="D25" s="2" t="s">
        <v>27</v>
      </c>
      <c r="E25" s="2">
        <v>1</v>
      </c>
      <c r="F25" s="2">
        <v>89.9</v>
      </c>
      <c r="G25" s="2">
        <v>1</v>
      </c>
      <c r="H25" s="5">
        <f t="shared" si="0"/>
        <v>179.8</v>
      </c>
      <c r="I25" s="2">
        <f t="shared" si="1"/>
        <v>89.9</v>
      </c>
      <c r="J25" s="2">
        <f t="shared" si="2"/>
        <v>89.9</v>
      </c>
      <c r="K25" s="2" t="str">
        <f t="shared" si="3"/>
        <v>Baixa no estoque</v>
      </c>
    </row>
    <row r="26" spans="1:11" x14ac:dyDescent="0.3">
      <c r="A26" s="2">
        <v>120111</v>
      </c>
      <c r="B26" s="2" t="s">
        <v>74</v>
      </c>
      <c r="C26" s="2" t="s">
        <v>75</v>
      </c>
      <c r="D26" s="2" t="s">
        <v>27</v>
      </c>
      <c r="E26" s="2">
        <v>1</v>
      </c>
      <c r="F26" s="2">
        <v>59.9</v>
      </c>
      <c r="G26" s="2">
        <v>1</v>
      </c>
      <c r="H26" s="5">
        <f t="shared" si="0"/>
        <v>119.8</v>
      </c>
      <c r="I26" s="2">
        <f t="shared" si="1"/>
        <v>59.9</v>
      </c>
      <c r="J26" s="2">
        <f t="shared" si="2"/>
        <v>59.9</v>
      </c>
      <c r="K26" s="2" t="str">
        <f t="shared" si="3"/>
        <v>Baixa no estoque</v>
      </c>
    </row>
    <row r="27" spans="1:11" x14ac:dyDescent="0.3">
      <c r="A27" s="4">
        <v>210014</v>
      </c>
      <c r="B27" s="4" t="s">
        <v>76</v>
      </c>
      <c r="C27" s="4" t="s">
        <v>77</v>
      </c>
      <c r="D27" s="4" t="s">
        <v>27</v>
      </c>
      <c r="E27" s="4">
        <v>1</v>
      </c>
      <c r="F27" s="4">
        <v>69.900000000000006</v>
      </c>
      <c r="G27" s="2">
        <v>1</v>
      </c>
      <c r="H27" s="5">
        <f t="shared" si="0"/>
        <v>139.80000000000001</v>
      </c>
      <c r="I27" s="4">
        <f t="shared" si="1"/>
        <v>69.900000000000006</v>
      </c>
      <c r="J27" s="4">
        <f t="shared" si="2"/>
        <v>69.900000000000006</v>
      </c>
      <c r="K27" s="4" t="str">
        <f t="shared" si="3"/>
        <v>Baixa no estoque</v>
      </c>
    </row>
    <row r="28" spans="1:11" x14ac:dyDescent="0.3">
      <c r="A28" s="2">
        <v>120159</v>
      </c>
      <c r="B28" s="2" t="s">
        <v>78</v>
      </c>
      <c r="C28" s="2" t="s">
        <v>79</v>
      </c>
      <c r="D28" s="2" t="s">
        <v>27</v>
      </c>
      <c r="E28" s="2">
        <v>1</v>
      </c>
      <c r="F28" s="2">
        <v>85.9</v>
      </c>
      <c r="G28" s="2">
        <v>1</v>
      </c>
      <c r="H28" s="5">
        <f t="shared" si="0"/>
        <v>171.8</v>
      </c>
      <c r="I28" s="2">
        <f t="shared" si="1"/>
        <v>85.9</v>
      </c>
      <c r="J28" s="2">
        <f t="shared" si="2"/>
        <v>85.9</v>
      </c>
      <c r="K28" s="2" t="str">
        <f t="shared" si="3"/>
        <v>Baixa no estoque</v>
      </c>
    </row>
    <row r="29" spans="1:11" x14ac:dyDescent="0.3">
      <c r="A29" s="2">
        <v>130302</v>
      </c>
      <c r="B29" s="2" t="s">
        <v>80</v>
      </c>
      <c r="C29" s="2" t="s">
        <v>81</v>
      </c>
      <c r="D29" s="2" t="s">
        <v>27</v>
      </c>
      <c r="E29" s="2">
        <v>1</v>
      </c>
      <c r="F29" s="2">
        <v>65.900000000000006</v>
      </c>
      <c r="G29" s="2">
        <v>1</v>
      </c>
      <c r="H29" s="5">
        <f t="shared" si="0"/>
        <v>131.80000000000001</v>
      </c>
      <c r="I29" s="2">
        <f t="shared" si="1"/>
        <v>65.900000000000006</v>
      </c>
      <c r="J29" s="2">
        <f t="shared" si="2"/>
        <v>65.900000000000006</v>
      </c>
      <c r="K29" s="2" t="str">
        <f t="shared" si="3"/>
        <v>Baixa no estoque</v>
      </c>
    </row>
    <row r="30" spans="1:11" x14ac:dyDescent="0.3">
      <c r="A30" s="2">
        <v>130300</v>
      </c>
      <c r="B30" s="2" t="s">
        <v>82</v>
      </c>
      <c r="C30" s="2" t="s">
        <v>83</v>
      </c>
      <c r="D30" s="2" t="s">
        <v>27</v>
      </c>
      <c r="E30" s="2">
        <v>1</v>
      </c>
      <c r="F30" s="2">
        <v>71.900000000000006</v>
      </c>
      <c r="G30" s="2">
        <v>1</v>
      </c>
      <c r="H30" s="5">
        <f t="shared" si="0"/>
        <v>143.80000000000001</v>
      </c>
      <c r="I30" s="2">
        <f t="shared" si="1"/>
        <v>71.900000000000006</v>
      </c>
      <c r="J30" s="2">
        <f t="shared" si="2"/>
        <v>71.900000000000006</v>
      </c>
      <c r="K30" s="2" t="str">
        <f t="shared" si="3"/>
        <v>Baixa no estoque</v>
      </c>
    </row>
    <row r="31" spans="1:11" x14ac:dyDescent="0.3">
      <c r="A31" s="2">
        <v>130291</v>
      </c>
      <c r="B31" s="2" t="s">
        <v>84</v>
      </c>
      <c r="C31" s="2" t="s">
        <v>63</v>
      </c>
      <c r="D31" s="2" t="s">
        <v>27</v>
      </c>
      <c r="E31" s="2">
        <v>1</v>
      </c>
      <c r="F31" s="2">
        <v>69.900000000000006</v>
      </c>
      <c r="G31" s="2">
        <v>1</v>
      </c>
      <c r="H31" s="5">
        <f t="shared" si="0"/>
        <v>139.80000000000001</v>
      </c>
      <c r="I31" s="2">
        <f t="shared" si="1"/>
        <v>69.900000000000006</v>
      </c>
      <c r="J31" s="2">
        <f>E31*I31</f>
        <v>69.900000000000006</v>
      </c>
      <c r="K31" s="2" t="str">
        <f t="shared" si="3"/>
        <v>Baixa no estoque</v>
      </c>
    </row>
    <row r="32" spans="1:11" x14ac:dyDescent="0.3">
      <c r="A32" s="2">
        <v>130285</v>
      </c>
      <c r="B32" s="2" t="s">
        <v>85</v>
      </c>
      <c r="C32" s="2" t="s">
        <v>86</v>
      </c>
      <c r="D32" s="2" t="s">
        <v>27</v>
      </c>
      <c r="E32" s="2">
        <v>1</v>
      </c>
      <c r="F32" s="2">
        <v>79.900000000000006</v>
      </c>
      <c r="G32" s="2">
        <v>1</v>
      </c>
      <c r="H32" s="5">
        <f t="shared" si="0"/>
        <v>159.80000000000001</v>
      </c>
      <c r="I32" s="2">
        <f t="shared" si="1"/>
        <v>79.900000000000006</v>
      </c>
      <c r="J32" s="2">
        <f t="shared" si="2"/>
        <v>79.900000000000006</v>
      </c>
      <c r="K32" s="2" t="str">
        <f t="shared" si="3"/>
        <v>Baixa no estoque</v>
      </c>
    </row>
    <row r="33" spans="1:12" x14ac:dyDescent="0.3">
      <c r="A33" s="2">
        <v>130293</v>
      </c>
      <c r="B33" s="2" t="s">
        <v>87</v>
      </c>
      <c r="C33" s="2" t="s">
        <v>88</v>
      </c>
      <c r="D33" s="2" t="s">
        <v>27</v>
      </c>
      <c r="E33" s="2">
        <v>1</v>
      </c>
      <c r="F33" s="2">
        <v>79.900000000000006</v>
      </c>
      <c r="G33" s="2">
        <v>1</v>
      </c>
      <c r="H33" s="5">
        <f t="shared" si="0"/>
        <v>159.80000000000001</v>
      </c>
      <c r="I33" s="2">
        <f t="shared" si="1"/>
        <v>79.900000000000006</v>
      </c>
      <c r="J33" s="2">
        <f t="shared" si="2"/>
        <v>79.900000000000006</v>
      </c>
      <c r="K33" s="2" t="str">
        <f t="shared" si="3"/>
        <v>Baixa no estoque</v>
      </c>
    </row>
    <row r="34" spans="1:12" x14ac:dyDescent="0.3">
      <c r="A34" s="2">
        <v>260029</v>
      </c>
      <c r="B34" s="2" t="s">
        <v>89</v>
      </c>
      <c r="C34" s="2" t="s">
        <v>90</v>
      </c>
      <c r="D34" s="2" t="s">
        <v>91</v>
      </c>
      <c r="E34" s="2">
        <v>1</v>
      </c>
      <c r="F34" s="2">
        <v>169.9</v>
      </c>
      <c r="G34" s="2">
        <v>1</v>
      </c>
      <c r="H34" s="5">
        <f t="shared" ref="H34:H98" si="4">F34+(F34*G34)</f>
        <v>339.8</v>
      </c>
      <c r="I34" s="2">
        <f t="shared" ref="I34:I98" si="5">H34-F34</f>
        <v>169.9</v>
      </c>
      <c r="J34" s="2">
        <f t="shared" ref="J34:J98" si="6">E34*I34</f>
        <v>169.9</v>
      </c>
      <c r="K34" s="2" t="str">
        <f t="shared" ref="K34:K98" si="7">IF(E34=0,"Esgotado",IF(E34&lt;=3,"Baixa no estoque","Disponível"))</f>
        <v>Baixa no estoque</v>
      </c>
    </row>
    <row r="35" spans="1:12" x14ac:dyDescent="0.3">
      <c r="A35" s="2">
        <v>10186</v>
      </c>
      <c r="B35" s="2" t="s">
        <v>92</v>
      </c>
      <c r="C35" s="2" t="s">
        <v>93</v>
      </c>
      <c r="D35" s="2" t="s">
        <v>91</v>
      </c>
      <c r="E35" s="2">
        <v>1</v>
      </c>
      <c r="F35" s="2">
        <v>99.9</v>
      </c>
      <c r="G35" s="2">
        <v>1</v>
      </c>
      <c r="H35" s="5">
        <f t="shared" si="4"/>
        <v>199.8</v>
      </c>
      <c r="I35" s="2">
        <f t="shared" si="5"/>
        <v>99.9</v>
      </c>
      <c r="J35" s="2">
        <f t="shared" si="6"/>
        <v>99.9</v>
      </c>
      <c r="K35" s="2" t="str">
        <f t="shared" si="7"/>
        <v>Baixa no estoque</v>
      </c>
    </row>
    <row r="36" spans="1:12" x14ac:dyDescent="0.3">
      <c r="A36" s="6">
        <v>110060</v>
      </c>
      <c r="B36" s="6" t="s">
        <v>94</v>
      </c>
      <c r="C36" s="6" t="s">
        <v>95</v>
      </c>
      <c r="D36" s="6" t="s">
        <v>96</v>
      </c>
      <c r="E36" s="6">
        <v>0</v>
      </c>
      <c r="F36" s="6">
        <v>139.9</v>
      </c>
      <c r="G36" s="6">
        <v>1</v>
      </c>
      <c r="H36" s="6">
        <f t="shared" si="4"/>
        <v>279.8</v>
      </c>
      <c r="I36" s="6">
        <f t="shared" si="5"/>
        <v>139.9</v>
      </c>
      <c r="J36" s="6">
        <f t="shared" si="6"/>
        <v>0</v>
      </c>
      <c r="K36" s="6" t="str">
        <f t="shared" si="7"/>
        <v>Esgotado</v>
      </c>
      <c r="L36" t="s">
        <v>217</v>
      </c>
    </row>
    <row r="37" spans="1:12" x14ac:dyDescent="0.3">
      <c r="A37" s="6">
        <v>180061</v>
      </c>
      <c r="B37" s="6" t="s">
        <v>97</v>
      </c>
      <c r="C37" s="6" t="s">
        <v>98</v>
      </c>
      <c r="D37" s="6" t="s">
        <v>96</v>
      </c>
      <c r="E37" s="6">
        <v>1</v>
      </c>
      <c r="F37" s="6">
        <v>159.9</v>
      </c>
      <c r="G37" s="6">
        <v>1</v>
      </c>
      <c r="H37" s="6">
        <f t="shared" si="4"/>
        <v>319.8</v>
      </c>
      <c r="I37" s="6">
        <f t="shared" si="5"/>
        <v>159.9</v>
      </c>
      <c r="J37" s="6">
        <f t="shared" si="6"/>
        <v>159.9</v>
      </c>
      <c r="K37" s="6" t="str">
        <f t="shared" si="7"/>
        <v>Baixa no estoque</v>
      </c>
      <c r="L37" t="s">
        <v>219</v>
      </c>
    </row>
    <row r="38" spans="1:12" x14ac:dyDescent="0.3">
      <c r="A38" s="6">
        <v>260043</v>
      </c>
      <c r="B38" s="6" t="s">
        <v>99</v>
      </c>
      <c r="C38" s="6" t="s">
        <v>100</v>
      </c>
      <c r="D38" s="6" t="s">
        <v>96</v>
      </c>
      <c r="E38" s="6">
        <v>0</v>
      </c>
      <c r="F38" s="6">
        <v>139.9</v>
      </c>
      <c r="G38" s="6">
        <v>1</v>
      </c>
      <c r="H38" s="6">
        <f t="shared" si="4"/>
        <v>279.8</v>
      </c>
      <c r="I38" s="6">
        <f t="shared" si="5"/>
        <v>139.9</v>
      </c>
      <c r="J38" s="6">
        <f t="shared" si="6"/>
        <v>0</v>
      </c>
      <c r="K38" s="6" t="str">
        <f t="shared" si="7"/>
        <v>Esgotado</v>
      </c>
      <c r="L38" t="s">
        <v>216</v>
      </c>
    </row>
    <row r="39" spans="1:12" x14ac:dyDescent="0.3">
      <c r="A39" s="2">
        <v>10494</v>
      </c>
      <c r="B39" s="2" t="s">
        <v>101</v>
      </c>
      <c r="C39" s="2" t="s">
        <v>102</v>
      </c>
      <c r="D39" s="2" t="s">
        <v>96</v>
      </c>
      <c r="E39" s="2">
        <v>1</v>
      </c>
      <c r="F39" s="2">
        <v>65.900000000000006</v>
      </c>
      <c r="G39" s="2">
        <v>1</v>
      </c>
      <c r="H39" s="5">
        <f t="shared" si="4"/>
        <v>131.80000000000001</v>
      </c>
      <c r="I39" s="2">
        <f t="shared" si="5"/>
        <v>65.900000000000006</v>
      </c>
      <c r="J39" s="2">
        <f t="shared" si="6"/>
        <v>65.900000000000006</v>
      </c>
      <c r="K39" s="2" t="str">
        <f t="shared" si="7"/>
        <v>Baixa no estoque</v>
      </c>
    </row>
    <row r="40" spans="1:12" x14ac:dyDescent="0.3">
      <c r="A40" s="2">
        <v>180207</v>
      </c>
      <c r="B40" s="2" t="s">
        <v>103</v>
      </c>
      <c r="C40" s="2" t="s">
        <v>104</v>
      </c>
      <c r="D40" s="2" t="s">
        <v>96</v>
      </c>
      <c r="E40" s="2">
        <v>1</v>
      </c>
      <c r="F40" s="2">
        <v>119.9</v>
      </c>
      <c r="G40" s="2">
        <v>1</v>
      </c>
      <c r="H40" s="5">
        <f t="shared" si="4"/>
        <v>239.8</v>
      </c>
      <c r="I40" s="2">
        <f t="shared" si="5"/>
        <v>119.9</v>
      </c>
      <c r="J40" s="2">
        <f t="shared" si="6"/>
        <v>119.9</v>
      </c>
      <c r="K40" s="2" t="str">
        <f t="shared" si="7"/>
        <v>Baixa no estoque</v>
      </c>
    </row>
    <row r="41" spans="1:12" x14ac:dyDescent="0.3">
      <c r="A41" s="2">
        <v>180127</v>
      </c>
      <c r="B41" s="2" t="s">
        <v>111</v>
      </c>
      <c r="C41" s="2" t="s">
        <v>112</v>
      </c>
      <c r="D41" s="2" t="s">
        <v>96</v>
      </c>
      <c r="E41" s="2">
        <v>1</v>
      </c>
      <c r="F41" s="2">
        <v>129.9</v>
      </c>
      <c r="G41" s="2">
        <v>1</v>
      </c>
      <c r="H41" s="5">
        <f t="shared" si="4"/>
        <v>259.8</v>
      </c>
      <c r="I41" s="2">
        <f t="shared" si="5"/>
        <v>129.9</v>
      </c>
      <c r="J41" s="2">
        <f t="shared" si="6"/>
        <v>129.9</v>
      </c>
      <c r="K41" s="2" t="str">
        <f t="shared" si="7"/>
        <v>Baixa no estoque</v>
      </c>
    </row>
    <row r="42" spans="1:12" x14ac:dyDescent="0.3">
      <c r="A42" s="2">
        <v>10798</v>
      </c>
      <c r="B42" s="2" t="s">
        <v>105</v>
      </c>
      <c r="C42" s="2" t="s">
        <v>106</v>
      </c>
      <c r="D42" s="2" t="s">
        <v>96</v>
      </c>
      <c r="E42" s="2">
        <v>1</v>
      </c>
      <c r="F42" s="2">
        <v>65.900000000000006</v>
      </c>
      <c r="G42" s="2">
        <v>1</v>
      </c>
      <c r="H42" s="5">
        <f t="shared" si="4"/>
        <v>131.80000000000001</v>
      </c>
      <c r="I42" s="2">
        <f t="shared" si="5"/>
        <v>65.900000000000006</v>
      </c>
      <c r="J42" s="2">
        <f t="shared" si="6"/>
        <v>65.900000000000006</v>
      </c>
      <c r="K42" s="2" t="str">
        <f t="shared" si="7"/>
        <v>Baixa no estoque</v>
      </c>
    </row>
    <row r="43" spans="1:12" x14ac:dyDescent="0.3">
      <c r="A43" s="2">
        <v>180185</v>
      </c>
      <c r="B43" s="2" t="s">
        <v>107</v>
      </c>
      <c r="C43" s="2" t="s">
        <v>108</v>
      </c>
      <c r="D43" s="2" t="s">
        <v>96</v>
      </c>
      <c r="E43" s="2">
        <v>1</v>
      </c>
      <c r="F43" s="2">
        <v>79.900000000000006</v>
      </c>
      <c r="G43" s="2">
        <v>1</v>
      </c>
      <c r="H43" s="5">
        <f t="shared" si="4"/>
        <v>159.80000000000001</v>
      </c>
      <c r="I43" s="2">
        <f t="shared" si="5"/>
        <v>79.900000000000006</v>
      </c>
      <c r="J43" s="2">
        <f t="shared" si="6"/>
        <v>79.900000000000006</v>
      </c>
      <c r="K43" s="2" t="str">
        <f t="shared" si="7"/>
        <v>Baixa no estoque</v>
      </c>
    </row>
    <row r="44" spans="1:12" x14ac:dyDescent="0.3">
      <c r="A44" s="2">
        <v>10685</v>
      </c>
      <c r="B44" s="2" t="s">
        <v>109</v>
      </c>
      <c r="C44" s="2" t="s">
        <v>110</v>
      </c>
      <c r="D44" s="2" t="s">
        <v>96</v>
      </c>
      <c r="E44" s="2">
        <v>1</v>
      </c>
      <c r="F44" s="2">
        <v>65.900000000000006</v>
      </c>
      <c r="G44" s="2">
        <v>1</v>
      </c>
      <c r="H44" s="5">
        <v>134.69999999999999</v>
      </c>
      <c r="I44" s="2">
        <f t="shared" si="5"/>
        <v>68.799999999999983</v>
      </c>
      <c r="J44" s="2">
        <f t="shared" si="6"/>
        <v>68.799999999999983</v>
      </c>
      <c r="K44" s="2" t="str">
        <f t="shared" si="7"/>
        <v>Baixa no estoque</v>
      </c>
    </row>
    <row r="45" spans="1:12" x14ac:dyDescent="0.3">
      <c r="A45" s="6">
        <v>130127</v>
      </c>
      <c r="B45" s="6" t="s">
        <v>113</v>
      </c>
      <c r="C45" s="6" t="s">
        <v>114</v>
      </c>
      <c r="D45" s="6" t="s">
        <v>96</v>
      </c>
      <c r="E45" s="6">
        <v>0</v>
      </c>
      <c r="F45" s="6">
        <v>75.900000000000006</v>
      </c>
      <c r="G45" s="6">
        <v>1</v>
      </c>
      <c r="H45" s="6">
        <f t="shared" si="4"/>
        <v>151.80000000000001</v>
      </c>
      <c r="I45" s="6">
        <f t="shared" si="5"/>
        <v>75.900000000000006</v>
      </c>
      <c r="J45" s="6">
        <f t="shared" si="6"/>
        <v>0</v>
      </c>
      <c r="K45" s="6" t="str">
        <f t="shared" si="7"/>
        <v>Esgotado</v>
      </c>
      <c r="L45" t="s">
        <v>215</v>
      </c>
    </row>
    <row r="46" spans="1:12" x14ac:dyDescent="0.3">
      <c r="A46" s="2">
        <v>130129</v>
      </c>
      <c r="B46" s="2" t="s">
        <v>115</v>
      </c>
      <c r="C46" s="2" t="s">
        <v>117</v>
      </c>
      <c r="D46" s="2" t="s">
        <v>96</v>
      </c>
      <c r="E46" s="2">
        <v>1</v>
      </c>
      <c r="F46" s="2">
        <v>79.900000000000006</v>
      </c>
      <c r="G46" s="2">
        <v>1</v>
      </c>
      <c r="H46" s="5">
        <f t="shared" si="4"/>
        <v>159.80000000000001</v>
      </c>
      <c r="I46" s="2">
        <f t="shared" si="5"/>
        <v>79.900000000000006</v>
      </c>
      <c r="J46" s="2">
        <f t="shared" si="6"/>
        <v>79.900000000000006</v>
      </c>
      <c r="K46" s="2" t="str">
        <f t="shared" si="7"/>
        <v>Baixa no estoque</v>
      </c>
    </row>
    <row r="47" spans="1:12" x14ac:dyDescent="0.3">
      <c r="A47" s="2">
        <v>130230</v>
      </c>
      <c r="B47" s="2" t="s">
        <v>118</v>
      </c>
      <c r="C47" s="2" t="s">
        <v>117</v>
      </c>
      <c r="D47" s="2" t="s">
        <v>96</v>
      </c>
      <c r="E47" s="2">
        <v>1</v>
      </c>
      <c r="F47" s="2">
        <v>69.900000000000006</v>
      </c>
      <c r="G47" s="2">
        <v>1</v>
      </c>
      <c r="H47" s="5">
        <f t="shared" si="4"/>
        <v>139.80000000000001</v>
      </c>
      <c r="I47" s="2">
        <f t="shared" si="5"/>
        <v>69.900000000000006</v>
      </c>
      <c r="J47" s="2">
        <f t="shared" si="6"/>
        <v>69.900000000000006</v>
      </c>
      <c r="K47" s="2" t="str">
        <f t="shared" si="7"/>
        <v>Baixa no estoque</v>
      </c>
    </row>
    <row r="48" spans="1:12" x14ac:dyDescent="0.3">
      <c r="A48" s="2">
        <v>130228</v>
      </c>
      <c r="B48" s="2" t="s">
        <v>118</v>
      </c>
      <c r="C48" s="2" t="s">
        <v>119</v>
      </c>
      <c r="D48" s="2" t="s">
        <v>96</v>
      </c>
      <c r="E48" s="2">
        <v>1</v>
      </c>
      <c r="F48" s="2">
        <v>65.900000000000006</v>
      </c>
      <c r="G48" s="2">
        <v>1</v>
      </c>
      <c r="H48" s="5">
        <f t="shared" si="4"/>
        <v>131.80000000000001</v>
      </c>
      <c r="I48" s="2">
        <f t="shared" si="5"/>
        <v>65.900000000000006</v>
      </c>
      <c r="J48" s="2">
        <f t="shared" si="6"/>
        <v>65.900000000000006</v>
      </c>
      <c r="K48" s="2" t="str">
        <f t="shared" si="7"/>
        <v>Baixa no estoque</v>
      </c>
    </row>
    <row r="49" spans="1:14" x14ac:dyDescent="0.3">
      <c r="A49" s="2">
        <v>130098</v>
      </c>
      <c r="B49" s="2" t="s">
        <v>120</v>
      </c>
      <c r="C49" s="2" t="s">
        <v>119</v>
      </c>
      <c r="D49" s="2" t="s">
        <v>96</v>
      </c>
      <c r="E49" s="2">
        <v>1</v>
      </c>
      <c r="F49" s="2">
        <v>55.9</v>
      </c>
      <c r="G49" s="2">
        <v>1</v>
      </c>
      <c r="H49" s="5">
        <f t="shared" si="4"/>
        <v>111.8</v>
      </c>
      <c r="I49" s="2">
        <f t="shared" si="5"/>
        <v>55.9</v>
      </c>
      <c r="J49" s="2">
        <f t="shared" si="6"/>
        <v>55.9</v>
      </c>
      <c r="K49" s="2" t="str">
        <f t="shared" si="7"/>
        <v>Baixa no estoque</v>
      </c>
    </row>
    <row r="50" spans="1:14" x14ac:dyDescent="0.3">
      <c r="A50" s="2">
        <v>130097</v>
      </c>
      <c r="B50" s="2" t="s">
        <v>121</v>
      </c>
      <c r="C50" s="2" t="s">
        <v>117</v>
      </c>
      <c r="D50" s="2" t="s">
        <v>96</v>
      </c>
      <c r="E50" s="2">
        <v>1</v>
      </c>
      <c r="F50" s="2">
        <v>59.9</v>
      </c>
      <c r="G50" s="2">
        <v>1</v>
      </c>
      <c r="H50" s="5">
        <f t="shared" si="4"/>
        <v>119.8</v>
      </c>
      <c r="I50" s="2">
        <f t="shared" si="5"/>
        <v>59.9</v>
      </c>
      <c r="J50" s="2">
        <f t="shared" si="6"/>
        <v>59.9</v>
      </c>
      <c r="K50" s="2" t="str">
        <f t="shared" si="7"/>
        <v>Baixa no estoque</v>
      </c>
    </row>
    <row r="51" spans="1:14" x14ac:dyDescent="0.3">
      <c r="A51" s="2">
        <v>30020</v>
      </c>
      <c r="B51" s="2" t="s">
        <v>122</v>
      </c>
      <c r="C51" s="2" t="s">
        <v>114</v>
      </c>
      <c r="D51" s="2" t="s">
        <v>96</v>
      </c>
      <c r="E51" s="2">
        <v>1</v>
      </c>
      <c r="F51" s="2">
        <v>59.9</v>
      </c>
      <c r="G51" s="2">
        <v>1</v>
      </c>
      <c r="H51" s="5">
        <f t="shared" si="4"/>
        <v>119.8</v>
      </c>
      <c r="I51" s="2">
        <f t="shared" si="5"/>
        <v>59.9</v>
      </c>
      <c r="J51" s="2">
        <f t="shared" si="6"/>
        <v>59.9</v>
      </c>
      <c r="K51" s="2" t="str">
        <f t="shared" si="7"/>
        <v>Baixa no estoque</v>
      </c>
    </row>
    <row r="52" spans="1:14" x14ac:dyDescent="0.3">
      <c r="A52" s="2">
        <v>30021</v>
      </c>
      <c r="B52" s="2" t="s">
        <v>123</v>
      </c>
      <c r="C52" s="2" t="s">
        <v>117</v>
      </c>
      <c r="D52" s="2" t="s">
        <v>96</v>
      </c>
      <c r="E52" s="2">
        <v>1</v>
      </c>
      <c r="F52" s="2">
        <v>69.900000000000006</v>
      </c>
      <c r="G52" s="2">
        <v>1</v>
      </c>
      <c r="H52" s="5">
        <f t="shared" si="4"/>
        <v>139.80000000000001</v>
      </c>
      <c r="I52" s="2">
        <f t="shared" si="5"/>
        <v>69.900000000000006</v>
      </c>
      <c r="J52" s="2">
        <f t="shared" si="6"/>
        <v>69.900000000000006</v>
      </c>
      <c r="K52" s="2" t="str">
        <f t="shared" si="7"/>
        <v>Baixa no estoque</v>
      </c>
    </row>
    <row r="53" spans="1:14" x14ac:dyDescent="0.3">
      <c r="A53" s="2">
        <v>110755</v>
      </c>
      <c r="B53" s="2" t="s">
        <v>124</v>
      </c>
      <c r="C53" s="2" t="s">
        <v>125</v>
      </c>
      <c r="D53" s="2" t="s">
        <v>96</v>
      </c>
      <c r="E53" s="2">
        <v>1</v>
      </c>
      <c r="F53" s="2">
        <v>99.9</v>
      </c>
      <c r="G53" s="2">
        <v>1</v>
      </c>
      <c r="H53" s="5">
        <f t="shared" si="4"/>
        <v>199.8</v>
      </c>
      <c r="I53" s="2">
        <f t="shared" si="5"/>
        <v>99.9</v>
      </c>
      <c r="J53" s="2">
        <f t="shared" si="6"/>
        <v>99.9</v>
      </c>
      <c r="K53" s="2" t="str">
        <f t="shared" si="7"/>
        <v>Baixa no estoque</v>
      </c>
    </row>
    <row r="54" spans="1:14" x14ac:dyDescent="0.3">
      <c r="A54" s="2">
        <v>60103</v>
      </c>
      <c r="B54" s="2" t="s">
        <v>126</v>
      </c>
      <c r="C54" s="2" t="s">
        <v>127</v>
      </c>
      <c r="D54" s="2" t="s">
        <v>96</v>
      </c>
      <c r="E54" s="2">
        <v>1</v>
      </c>
      <c r="F54" s="2">
        <v>85.9</v>
      </c>
      <c r="G54" s="2">
        <v>1</v>
      </c>
      <c r="H54" s="5">
        <f t="shared" si="4"/>
        <v>171.8</v>
      </c>
      <c r="I54" s="2">
        <f t="shared" si="5"/>
        <v>85.9</v>
      </c>
      <c r="J54" s="2">
        <f t="shared" si="6"/>
        <v>85.9</v>
      </c>
      <c r="K54" s="2" t="str">
        <f t="shared" si="7"/>
        <v>Baixa no estoque</v>
      </c>
    </row>
    <row r="55" spans="1:14" x14ac:dyDescent="0.3">
      <c r="A55" s="2">
        <v>110084</v>
      </c>
      <c r="B55" s="2" t="s">
        <v>128</v>
      </c>
      <c r="C55" s="2" t="s">
        <v>129</v>
      </c>
      <c r="D55" s="2" t="s">
        <v>96</v>
      </c>
      <c r="E55" s="2">
        <v>1</v>
      </c>
      <c r="F55" s="2">
        <v>39.9</v>
      </c>
      <c r="G55" s="2">
        <v>1</v>
      </c>
      <c r="H55" s="5">
        <f t="shared" si="4"/>
        <v>79.8</v>
      </c>
      <c r="I55" s="2">
        <f t="shared" si="5"/>
        <v>39.9</v>
      </c>
      <c r="J55" s="2">
        <f t="shared" si="6"/>
        <v>39.9</v>
      </c>
      <c r="K55" s="2" t="str">
        <f t="shared" si="7"/>
        <v>Baixa no estoque</v>
      </c>
    </row>
    <row r="56" spans="1:14" x14ac:dyDescent="0.3">
      <c r="A56" s="2">
        <v>110085</v>
      </c>
      <c r="B56" s="2" t="s">
        <v>130</v>
      </c>
      <c r="C56" s="2" t="s">
        <v>131</v>
      </c>
      <c r="D56" s="2" t="s">
        <v>96</v>
      </c>
      <c r="E56" s="2">
        <v>1</v>
      </c>
      <c r="F56" s="2">
        <v>49.9</v>
      </c>
      <c r="G56" s="2">
        <v>1</v>
      </c>
      <c r="H56" s="5">
        <f t="shared" si="4"/>
        <v>99.8</v>
      </c>
      <c r="I56" s="2">
        <f t="shared" si="5"/>
        <v>49.9</v>
      </c>
      <c r="J56" s="2">
        <f t="shared" si="6"/>
        <v>49.9</v>
      </c>
      <c r="K56" s="2" t="str">
        <f t="shared" si="7"/>
        <v>Baixa no estoque</v>
      </c>
    </row>
    <row r="57" spans="1:14" x14ac:dyDescent="0.3">
      <c r="A57" s="2">
        <v>130234</v>
      </c>
      <c r="B57" s="2" t="s">
        <v>132</v>
      </c>
      <c r="C57" s="2" t="s">
        <v>114</v>
      </c>
      <c r="D57" s="2" t="s">
        <v>96</v>
      </c>
      <c r="E57" s="2">
        <v>1</v>
      </c>
      <c r="F57" s="2">
        <v>79.900000000000006</v>
      </c>
      <c r="G57" s="2">
        <v>1</v>
      </c>
      <c r="H57" s="5">
        <f t="shared" si="4"/>
        <v>159.80000000000001</v>
      </c>
      <c r="I57" s="2">
        <f t="shared" si="5"/>
        <v>79.900000000000006</v>
      </c>
      <c r="J57" s="2">
        <f t="shared" si="6"/>
        <v>79.900000000000006</v>
      </c>
      <c r="K57" s="2" t="str">
        <f t="shared" si="7"/>
        <v>Baixa no estoque</v>
      </c>
    </row>
    <row r="58" spans="1:14" x14ac:dyDescent="0.3">
      <c r="A58" s="6">
        <v>130188</v>
      </c>
      <c r="B58" s="6" t="s">
        <v>133</v>
      </c>
      <c r="C58" s="6" t="s">
        <v>117</v>
      </c>
      <c r="D58" s="6" t="s">
        <v>96</v>
      </c>
      <c r="E58" s="6">
        <v>0</v>
      </c>
      <c r="F58" s="6">
        <v>69.900000000000006</v>
      </c>
      <c r="G58" s="6">
        <v>1</v>
      </c>
      <c r="H58" s="6">
        <f t="shared" si="4"/>
        <v>139.80000000000001</v>
      </c>
      <c r="I58" s="6">
        <f t="shared" si="5"/>
        <v>69.900000000000006</v>
      </c>
      <c r="J58" s="6">
        <f t="shared" si="6"/>
        <v>0</v>
      </c>
      <c r="K58" s="6" t="str">
        <f t="shared" si="7"/>
        <v>Esgotado</v>
      </c>
      <c r="N58">
        <v>139.80000000000001</v>
      </c>
    </row>
    <row r="59" spans="1:14" x14ac:dyDescent="0.3">
      <c r="A59" s="2">
        <v>130186</v>
      </c>
      <c r="B59" s="2" t="s">
        <v>134</v>
      </c>
      <c r="C59" s="2" t="s">
        <v>116</v>
      </c>
      <c r="D59" s="2" t="s">
        <v>96</v>
      </c>
      <c r="E59" s="2">
        <v>1</v>
      </c>
      <c r="F59" s="2">
        <v>64.900000000000006</v>
      </c>
      <c r="G59" s="2">
        <v>1</v>
      </c>
      <c r="H59" s="5">
        <f t="shared" si="4"/>
        <v>129.80000000000001</v>
      </c>
      <c r="I59" s="2">
        <f t="shared" si="5"/>
        <v>64.900000000000006</v>
      </c>
      <c r="J59" s="2">
        <f t="shared" si="6"/>
        <v>64.900000000000006</v>
      </c>
      <c r="K59" s="2" t="str">
        <f t="shared" si="7"/>
        <v>Baixa no estoque</v>
      </c>
    </row>
    <row r="60" spans="1:14" x14ac:dyDescent="0.3">
      <c r="A60" s="2">
        <v>190088</v>
      </c>
      <c r="B60" s="2" t="s">
        <v>135</v>
      </c>
      <c r="C60" s="2" t="s">
        <v>136</v>
      </c>
      <c r="D60" s="2" t="s">
        <v>96</v>
      </c>
      <c r="E60" s="2">
        <v>1</v>
      </c>
      <c r="F60" s="2">
        <v>89.9</v>
      </c>
      <c r="G60" s="2">
        <v>1</v>
      </c>
      <c r="H60" s="5">
        <f t="shared" si="4"/>
        <v>179.8</v>
      </c>
      <c r="I60" s="2">
        <f t="shared" si="5"/>
        <v>89.9</v>
      </c>
      <c r="J60" s="2">
        <f t="shared" si="6"/>
        <v>89.9</v>
      </c>
      <c r="K60" s="2" t="str">
        <f t="shared" si="7"/>
        <v>Baixa no estoque</v>
      </c>
    </row>
    <row r="61" spans="1:14" x14ac:dyDescent="0.3">
      <c r="A61" s="2">
        <v>130276</v>
      </c>
      <c r="B61" s="2" t="s">
        <v>137</v>
      </c>
      <c r="C61" s="2" t="s">
        <v>138</v>
      </c>
      <c r="D61" s="2" t="s">
        <v>96</v>
      </c>
      <c r="E61" s="2">
        <v>1</v>
      </c>
      <c r="F61" s="2">
        <v>59.9</v>
      </c>
      <c r="G61" s="2">
        <v>1</v>
      </c>
      <c r="H61" s="5">
        <f t="shared" si="4"/>
        <v>119.8</v>
      </c>
      <c r="I61" s="2">
        <f t="shared" si="5"/>
        <v>59.9</v>
      </c>
      <c r="J61" s="2">
        <f t="shared" si="6"/>
        <v>59.9</v>
      </c>
      <c r="K61" s="2" t="str">
        <f t="shared" si="7"/>
        <v>Baixa no estoque</v>
      </c>
    </row>
    <row r="62" spans="1:14" x14ac:dyDescent="0.3">
      <c r="A62" s="2">
        <v>180183</v>
      </c>
      <c r="B62" s="2" t="s">
        <v>139</v>
      </c>
      <c r="C62" s="2" t="s">
        <v>140</v>
      </c>
      <c r="D62" s="2" t="s">
        <v>96</v>
      </c>
      <c r="E62" s="2">
        <v>1</v>
      </c>
      <c r="F62" s="2">
        <v>89.9</v>
      </c>
      <c r="G62" s="2">
        <v>1</v>
      </c>
      <c r="H62" s="5">
        <f t="shared" si="4"/>
        <v>179.8</v>
      </c>
      <c r="I62" s="2">
        <f t="shared" si="5"/>
        <v>89.9</v>
      </c>
      <c r="J62" s="2">
        <f t="shared" si="6"/>
        <v>89.9</v>
      </c>
      <c r="K62" s="2" t="str">
        <f t="shared" si="7"/>
        <v>Baixa no estoque</v>
      </c>
    </row>
    <row r="63" spans="1:14" x14ac:dyDescent="0.3">
      <c r="A63" s="2">
        <v>180183</v>
      </c>
      <c r="B63" s="2" t="s">
        <v>139</v>
      </c>
      <c r="C63" s="2" t="s">
        <v>141</v>
      </c>
      <c r="D63" s="2" t="s">
        <v>96</v>
      </c>
      <c r="E63" s="2">
        <v>1</v>
      </c>
      <c r="F63" s="2">
        <v>89.9</v>
      </c>
      <c r="G63" s="2">
        <v>1</v>
      </c>
      <c r="H63" s="5">
        <f t="shared" si="4"/>
        <v>179.8</v>
      </c>
      <c r="I63" s="2">
        <f t="shared" si="5"/>
        <v>89.9</v>
      </c>
      <c r="J63" s="2">
        <f t="shared" si="6"/>
        <v>89.9</v>
      </c>
      <c r="K63" s="2" t="str">
        <f t="shared" si="7"/>
        <v>Baixa no estoque</v>
      </c>
    </row>
    <row r="64" spans="1:14" x14ac:dyDescent="0.3">
      <c r="A64" s="6">
        <v>130236</v>
      </c>
      <c r="B64" s="6" t="s">
        <v>142</v>
      </c>
      <c r="C64" s="6" t="s">
        <v>117</v>
      </c>
      <c r="D64" s="6" t="s">
        <v>96</v>
      </c>
      <c r="E64" s="6">
        <v>0</v>
      </c>
      <c r="F64" s="6">
        <v>89.9</v>
      </c>
      <c r="G64" s="6">
        <v>1</v>
      </c>
      <c r="H64" s="6">
        <f t="shared" si="4"/>
        <v>179.8</v>
      </c>
      <c r="I64" s="6">
        <f t="shared" si="5"/>
        <v>89.9</v>
      </c>
      <c r="J64" s="6">
        <f t="shared" si="6"/>
        <v>0</v>
      </c>
      <c r="K64" s="6" t="str">
        <f t="shared" si="7"/>
        <v>Esgotado</v>
      </c>
      <c r="L64" t="s">
        <v>215</v>
      </c>
    </row>
    <row r="65" spans="1:12" x14ac:dyDescent="0.3">
      <c r="A65" s="2">
        <v>130176</v>
      </c>
      <c r="B65" s="2" t="s">
        <v>143</v>
      </c>
      <c r="C65" s="2"/>
      <c r="D65" s="2" t="s">
        <v>96</v>
      </c>
      <c r="E65" s="2">
        <v>1</v>
      </c>
      <c r="F65" s="2">
        <v>65.900000000000006</v>
      </c>
      <c r="G65" s="2">
        <v>1</v>
      </c>
      <c r="H65" s="5">
        <f t="shared" si="4"/>
        <v>131.80000000000001</v>
      </c>
      <c r="I65" s="2">
        <f t="shared" si="5"/>
        <v>65.900000000000006</v>
      </c>
      <c r="J65" s="2">
        <f t="shared" si="6"/>
        <v>65.900000000000006</v>
      </c>
      <c r="K65" s="2" t="str">
        <f t="shared" si="7"/>
        <v>Baixa no estoque</v>
      </c>
    </row>
    <row r="66" spans="1:12" x14ac:dyDescent="0.3">
      <c r="A66" s="2">
        <v>130157</v>
      </c>
      <c r="B66" s="2" t="s">
        <v>144</v>
      </c>
      <c r="C66" s="2" t="s">
        <v>145</v>
      </c>
      <c r="D66" s="2" t="s">
        <v>96</v>
      </c>
      <c r="E66" s="2">
        <v>1</v>
      </c>
      <c r="F66" s="2">
        <v>53.9</v>
      </c>
      <c r="G66" s="2">
        <v>1</v>
      </c>
      <c r="H66" s="5">
        <f t="shared" si="4"/>
        <v>107.8</v>
      </c>
      <c r="I66" s="2">
        <f t="shared" si="5"/>
        <v>53.9</v>
      </c>
      <c r="J66" s="2">
        <f t="shared" si="6"/>
        <v>53.9</v>
      </c>
      <c r="K66" s="2" t="str">
        <f t="shared" si="7"/>
        <v>Baixa no estoque</v>
      </c>
    </row>
    <row r="67" spans="1:12" x14ac:dyDescent="0.3">
      <c r="A67" s="2">
        <v>130159</v>
      </c>
      <c r="B67" s="2" t="s">
        <v>146</v>
      </c>
      <c r="C67" s="2" t="s">
        <v>147</v>
      </c>
      <c r="D67" s="2" t="s">
        <v>96</v>
      </c>
      <c r="E67" s="2">
        <v>1</v>
      </c>
      <c r="F67" s="2">
        <v>48.9</v>
      </c>
      <c r="G67" s="2">
        <v>1</v>
      </c>
      <c r="H67" s="5">
        <f t="shared" si="4"/>
        <v>97.8</v>
      </c>
      <c r="I67" s="2">
        <f t="shared" si="5"/>
        <v>48.9</v>
      </c>
      <c r="J67" s="2">
        <f t="shared" si="6"/>
        <v>48.9</v>
      </c>
      <c r="K67" s="2" t="str">
        <f t="shared" si="7"/>
        <v>Baixa no estoque</v>
      </c>
    </row>
    <row r="68" spans="1:12" x14ac:dyDescent="0.3">
      <c r="A68" s="2">
        <v>130177</v>
      </c>
      <c r="B68" s="2" t="s">
        <v>143</v>
      </c>
      <c r="C68" s="2" t="s">
        <v>117</v>
      </c>
      <c r="D68" s="2" t="s">
        <v>96</v>
      </c>
      <c r="E68" s="2">
        <v>1</v>
      </c>
      <c r="F68" s="2">
        <v>69.900000000000006</v>
      </c>
      <c r="G68" s="2">
        <v>1</v>
      </c>
      <c r="H68" s="5">
        <f t="shared" si="4"/>
        <v>139.80000000000001</v>
      </c>
      <c r="I68" s="2">
        <f t="shared" si="5"/>
        <v>69.900000000000006</v>
      </c>
      <c r="J68" s="2">
        <f t="shared" si="6"/>
        <v>69.900000000000006</v>
      </c>
      <c r="K68" s="2" t="str">
        <f t="shared" si="7"/>
        <v>Baixa no estoque</v>
      </c>
    </row>
    <row r="69" spans="1:12" x14ac:dyDescent="0.3">
      <c r="A69" s="2">
        <v>10324</v>
      </c>
      <c r="B69" s="2" t="s">
        <v>148</v>
      </c>
      <c r="C69" s="2" t="s">
        <v>149</v>
      </c>
      <c r="D69" s="2" t="s">
        <v>150</v>
      </c>
      <c r="E69" s="2">
        <v>1</v>
      </c>
      <c r="F69" s="2">
        <v>89.9</v>
      </c>
      <c r="G69" s="2">
        <v>1</v>
      </c>
      <c r="H69" s="5">
        <f t="shared" si="4"/>
        <v>179.8</v>
      </c>
      <c r="I69" s="2">
        <f t="shared" si="5"/>
        <v>89.9</v>
      </c>
      <c r="J69" s="2">
        <f t="shared" si="6"/>
        <v>89.9</v>
      </c>
      <c r="K69" s="2" t="str">
        <f t="shared" si="7"/>
        <v>Baixa no estoque</v>
      </c>
    </row>
    <row r="70" spans="1:12" x14ac:dyDescent="0.3">
      <c r="A70" s="2">
        <v>240011</v>
      </c>
      <c r="B70" s="2" t="s">
        <v>151</v>
      </c>
      <c r="C70" s="2" t="s">
        <v>152</v>
      </c>
      <c r="D70" s="2" t="s">
        <v>150</v>
      </c>
      <c r="E70" s="2">
        <v>1</v>
      </c>
      <c r="F70" s="2">
        <v>105.9</v>
      </c>
      <c r="G70" s="2">
        <v>1</v>
      </c>
      <c r="H70" s="5">
        <f t="shared" si="4"/>
        <v>211.8</v>
      </c>
      <c r="I70" s="2">
        <f t="shared" si="5"/>
        <v>105.9</v>
      </c>
      <c r="J70" s="2">
        <f t="shared" si="6"/>
        <v>105.9</v>
      </c>
      <c r="K70" s="2" t="str">
        <f t="shared" si="7"/>
        <v>Baixa no estoque</v>
      </c>
    </row>
    <row r="71" spans="1:12" x14ac:dyDescent="0.3">
      <c r="A71" s="2">
        <v>260024</v>
      </c>
      <c r="B71" s="2" t="s">
        <v>153</v>
      </c>
      <c r="C71" s="2" t="s">
        <v>154</v>
      </c>
      <c r="D71" s="2" t="s">
        <v>155</v>
      </c>
      <c r="E71" s="2">
        <v>1</v>
      </c>
      <c r="F71" s="2">
        <v>169.9</v>
      </c>
      <c r="G71" s="2">
        <v>1</v>
      </c>
      <c r="H71" s="5">
        <f t="shared" si="4"/>
        <v>339.8</v>
      </c>
      <c r="I71" s="2">
        <f t="shared" si="5"/>
        <v>169.9</v>
      </c>
      <c r="J71" s="2">
        <f t="shared" si="6"/>
        <v>169.9</v>
      </c>
      <c r="K71" s="2" t="str">
        <f t="shared" si="7"/>
        <v>Baixa no estoque</v>
      </c>
    </row>
    <row r="72" spans="1:12" x14ac:dyDescent="0.3">
      <c r="A72" s="2">
        <v>60115</v>
      </c>
      <c r="B72" s="2" t="s">
        <v>156</v>
      </c>
      <c r="C72" s="2" t="s">
        <v>157</v>
      </c>
      <c r="D72" s="2" t="s">
        <v>155</v>
      </c>
      <c r="E72" s="2">
        <v>1</v>
      </c>
      <c r="F72" s="2">
        <v>119.9</v>
      </c>
      <c r="G72" s="2">
        <v>1</v>
      </c>
      <c r="H72" s="5">
        <f t="shared" si="4"/>
        <v>239.8</v>
      </c>
      <c r="I72" s="2">
        <f t="shared" si="5"/>
        <v>119.9</v>
      </c>
      <c r="J72" s="2">
        <f t="shared" si="6"/>
        <v>119.9</v>
      </c>
      <c r="K72" s="2" t="str">
        <f t="shared" si="7"/>
        <v>Baixa no estoque</v>
      </c>
    </row>
    <row r="73" spans="1:12" x14ac:dyDescent="0.3">
      <c r="A73" s="2">
        <v>240029</v>
      </c>
      <c r="B73" s="2" t="s">
        <v>158</v>
      </c>
      <c r="C73" s="2" t="s">
        <v>159</v>
      </c>
      <c r="D73" s="2" t="s">
        <v>155</v>
      </c>
      <c r="E73" s="2">
        <v>1</v>
      </c>
      <c r="F73" s="2">
        <v>85.9</v>
      </c>
      <c r="G73" s="2">
        <v>1</v>
      </c>
      <c r="H73" s="5">
        <f t="shared" si="4"/>
        <v>171.8</v>
      </c>
      <c r="I73" s="2">
        <f t="shared" si="5"/>
        <v>85.9</v>
      </c>
      <c r="J73" s="2">
        <f t="shared" si="6"/>
        <v>85.9</v>
      </c>
      <c r="K73" s="2" t="str">
        <f t="shared" si="7"/>
        <v>Baixa no estoque</v>
      </c>
    </row>
    <row r="74" spans="1:12" x14ac:dyDescent="0.3">
      <c r="A74" s="2">
        <v>11159</v>
      </c>
      <c r="B74" s="2" t="s">
        <v>160</v>
      </c>
      <c r="C74" s="2" t="s">
        <v>161</v>
      </c>
      <c r="D74" s="2" t="s">
        <v>155</v>
      </c>
      <c r="E74" s="2">
        <v>1</v>
      </c>
      <c r="F74" s="2">
        <v>55.9</v>
      </c>
      <c r="G74" s="2">
        <v>1</v>
      </c>
      <c r="H74" s="5">
        <f t="shared" si="4"/>
        <v>111.8</v>
      </c>
      <c r="I74" s="2">
        <f t="shared" si="5"/>
        <v>55.9</v>
      </c>
      <c r="J74" s="2">
        <f t="shared" si="6"/>
        <v>55.9</v>
      </c>
      <c r="K74" s="2" t="str">
        <f t="shared" si="7"/>
        <v>Baixa no estoque</v>
      </c>
    </row>
    <row r="75" spans="1:12" x14ac:dyDescent="0.3">
      <c r="A75" s="2">
        <v>60074</v>
      </c>
      <c r="B75" s="2" t="s">
        <v>162</v>
      </c>
      <c r="C75" s="2" t="s">
        <v>163</v>
      </c>
      <c r="D75" s="2" t="s">
        <v>164</v>
      </c>
      <c r="E75" s="2">
        <v>1</v>
      </c>
      <c r="F75" s="2">
        <v>75.900000000000006</v>
      </c>
      <c r="G75" s="2">
        <v>1</v>
      </c>
      <c r="H75" s="5">
        <f t="shared" si="4"/>
        <v>151.80000000000001</v>
      </c>
      <c r="I75" s="2">
        <f t="shared" si="5"/>
        <v>75.900000000000006</v>
      </c>
      <c r="J75" s="2">
        <f t="shared" si="6"/>
        <v>75.900000000000006</v>
      </c>
      <c r="K75" s="2" t="str">
        <f t="shared" si="7"/>
        <v>Baixa no estoque</v>
      </c>
    </row>
    <row r="76" spans="1:12" x14ac:dyDescent="0.3">
      <c r="A76" s="2">
        <v>11152</v>
      </c>
      <c r="B76" s="2" t="s">
        <v>165</v>
      </c>
      <c r="C76" s="2" t="s">
        <v>166</v>
      </c>
      <c r="D76" s="2" t="s">
        <v>155</v>
      </c>
      <c r="E76" s="2">
        <v>1</v>
      </c>
      <c r="F76" s="2">
        <v>89.9</v>
      </c>
      <c r="G76" s="2">
        <v>1</v>
      </c>
      <c r="H76" s="5">
        <f t="shared" si="4"/>
        <v>179.8</v>
      </c>
      <c r="I76" s="2">
        <f t="shared" si="5"/>
        <v>89.9</v>
      </c>
      <c r="J76" s="2">
        <f t="shared" si="6"/>
        <v>89.9</v>
      </c>
      <c r="K76" s="2" t="str">
        <f t="shared" si="7"/>
        <v>Baixa no estoque</v>
      </c>
    </row>
    <row r="77" spans="1:12" x14ac:dyDescent="0.3">
      <c r="A77" s="2">
        <v>190023</v>
      </c>
      <c r="B77" s="2" t="s">
        <v>167</v>
      </c>
      <c r="C77" s="2" t="s">
        <v>168</v>
      </c>
      <c r="D77" s="2" t="s">
        <v>164</v>
      </c>
      <c r="E77" s="2">
        <v>1</v>
      </c>
      <c r="F77" s="2">
        <v>63.9</v>
      </c>
      <c r="G77" s="2">
        <v>1</v>
      </c>
      <c r="H77" s="5">
        <f t="shared" si="4"/>
        <v>127.8</v>
      </c>
      <c r="I77" s="2">
        <f t="shared" si="5"/>
        <v>63.9</v>
      </c>
      <c r="J77" s="2">
        <f t="shared" si="6"/>
        <v>63.9</v>
      </c>
      <c r="K77" s="2" t="str">
        <f t="shared" si="7"/>
        <v>Baixa no estoque</v>
      </c>
    </row>
    <row r="78" spans="1:12" x14ac:dyDescent="0.3">
      <c r="A78" s="2">
        <v>60071</v>
      </c>
      <c r="B78" s="2" t="s">
        <v>169</v>
      </c>
      <c r="C78" s="2" t="s">
        <v>170</v>
      </c>
      <c r="D78" s="2" t="s">
        <v>164</v>
      </c>
      <c r="E78" s="2">
        <v>1</v>
      </c>
      <c r="F78" s="2">
        <v>69.900000000000006</v>
      </c>
      <c r="G78" s="2">
        <v>1</v>
      </c>
      <c r="H78" s="5">
        <f t="shared" si="4"/>
        <v>139.80000000000001</v>
      </c>
      <c r="I78" s="2">
        <f t="shared" si="5"/>
        <v>69.900000000000006</v>
      </c>
      <c r="J78" s="2">
        <f t="shared" si="6"/>
        <v>69.900000000000006</v>
      </c>
      <c r="K78" s="2" t="str">
        <f t="shared" si="7"/>
        <v>Baixa no estoque</v>
      </c>
    </row>
    <row r="79" spans="1:12" x14ac:dyDescent="0.3">
      <c r="A79" s="6">
        <v>260008</v>
      </c>
      <c r="B79" s="6" t="s">
        <v>171</v>
      </c>
      <c r="C79" s="6" t="s">
        <v>172</v>
      </c>
      <c r="D79" s="6" t="s">
        <v>150</v>
      </c>
      <c r="E79" s="6">
        <v>0</v>
      </c>
      <c r="F79" s="6">
        <v>419.9</v>
      </c>
      <c r="G79" s="6">
        <v>1</v>
      </c>
      <c r="H79" s="6">
        <f t="shared" si="4"/>
        <v>839.8</v>
      </c>
      <c r="I79" s="6">
        <f t="shared" si="5"/>
        <v>419.9</v>
      </c>
      <c r="J79" s="6">
        <f t="shared" si="6"/>
        <v>0</v>
      </c>
      <c r="K79" s="6" t="str">
        <f t="shared" si="7"/>
        <v>Esgotado</v>
      </c>
      <c r="L79" t="s">
        <v>218</v>
      </c>
    </row>
    <row r="80" spans="1:12" x14ac:dyDescent="0.3">
      <c r="A80" s="2">
        <v>260033</v>
      </c>
      <c r="B80" s="2" t="s">
        <v>173</v>
      </c>
      <c r="C80" s="2" t="s">
        <v>174</v>
      </c>
      <c r="D80" s="2" t="s">
        <v>150</v>
      </c>
      <c r="E80" s="2">
        <v>1</v>
      </c>
      <c r="F80" s="2">
        <v>159.9</v>
      </c>
      <c r="G80" s="2">
        <v>1</v>
      </c>
      <c r="H80" s="5">
        <f t="shared" si="4"/>
        <v>319.8</v>
      </c>
      <c r="I80" s="2">
        <f t="shared" si="5"/>
        <v>159.9</v>
      </c>
      <c r="J80" s="2">
        <f t="shared" si="6"/>
        <v>159.9</v>
      </c>
      <c r="K80" s="2" t="str">
        <f t="shared" si="7"/>
        <v>Baixa no estoque</v>
      </c>
    </row>
    <row r="81" spans="1:14" x14ac:dyDescent="0.3">
      <c r="A81" s="2">
        <v>180199</v>
      </c>
      <c r="B81" s="2" t="s">
        <v>175</v>
      </c>
      <c r="C81" s="2" t="s">
        <v>176</v>
      </c>
      <c r="D81" s="2" t="s">
        <v>155</v>
      </c>
      <c r="E81" s="2">
        <v>1</v>
      </c>
      <c r="F81" s="2">
        <v>109.9</v>
      </c>
      <c r="G81" s="2">
        <v>1</v>
      </c>
      <c r="H81" s="5">
        <f t="shared" si="4"/>
        <v>219.8</v>
      </c>
      <c r="I81" s="2">
        <f t="shared" si="5"/>
        <v>109.9</v>
      </c>
      <c r="J81" s="2">
        <f t="shared" si="6"/>
        <v>109.9</v>
      </c>
      <c r="K81" s="2" t="str">
        <f t="shared" si="7"/>
        <v>Baixa no estoque</v>
      </c>
    </row>
    <row r="82" spans="1:14" x14ac:dyDescent="0.3">
      <c r="A82" s="6">
        <v>130379</v>
      </c>
      <c r="B82" s="6" t="s">
        <v>177</v>
      </c>
      <c r="C82" s="6" t="s">
        <v>178</v>
      </c>
      <c r="D82" s="6" t="s">
        <v>150</v>
      </c>
      <c r="E82" s="6">
        <v>0</v>
      </c>
      <c r="F82" s="6">
        <v>89.9</v>
      </c>
      <c r="G82" s="6">
        <v>1</v>
      </c>
      <c r="H82" s="6">
        <f t="shared" si="4"/>
        <v>179.8</v>
      </c>
      <c r="I82" s="6">
        <f t="shared" si="5"/>
        <v>89.9</v>
      </c>
      <c r="J82" s="6">
        <f t="shared" si="6"/>
        <v>0</v>
      </c>
      <c r="K82" s="6" t="str">
        <f t="shared" si="7"/>
        <v>Esgotado</v>
      </c>
      <c r="N82">
        <v>179.8</v>
      </c>
    </row>
    <row r="83" spans="1:14" x14ac:dyDescent="0.3">
      <c r="A83" s="2">
        <v>20010</v>
      </c>
      <c r="B83" s="2" t="s">
        <v>179</v>
      </c>
      <c r="C83" s="2" t="s">
        <v>180</v>
      </c>
      <c r="D83" s="2" t="s">
        <v>150</v>
      </c>
      <c r="E83" s="2">
        <v>1</v>
      </c>
      <c r="F83" s="2">
        <v>120.9</v>
      </c>
      <c r="G83" s="2">
        <v>1</v>
      </c>
      <c r="H83" s="5">
        <f t="shared" si="4"/>
        <v>241.8</v>
      </c>
      <c r="I83" s="2">
        <f t="shared" si="5"/>
        <v>120.9</v>
      </c>
      <c r="J83" s="2">
        <f t="shared" si="6"/>
        <v>120.9</v>
      </c>
      <c r="K83" s="2" t="str">
        <f t="shared" si="7"/>
        <v>Baixa no estoque</v>
      </c>
    </row>
    <row r="84" spans="1:14" x14ac:dyDescent="0.3">
      <c r="A84" s="6">
        <v>260034</v>
      </c>
      <c r="B84" s="6" t="s">
        <v>181</v>
      </c>
      <c r="C84" s="6" t="s">
        <v>182</v>
      </c>
      <c r="D84" s="6" t="s">
        <v>150</v>
      </c>
      <c r="E84" s="6">
        <v>0</v>
      </c>
      <c r="F84" s="6">
        <v>109.9</v>
      </c>
      <c r="G84" s="6">
        <v>1</v>
      </c>
      <c r="H84" s="6">
        <f t="shared" si="4"/>
        <v>219.8</v>
      </c>
      <c r="I84" s="6">
        <f t="shared" si="5"/>
        <v>109.9</v>
      </c>
      <c r="J84" s="6">
        <f t="shared" si="6"/>
        <v>0</v>
      </c>
      <c r="K84" s="6" t="str">
        <f t="shared" si="7"/>
        <v>Esgotado</v>
      </c>
      <c r="N84">
        <v>219.8</v>
      </c>
    </row>
    <row r="85" spans="1:14" x14ac:dyDescent="0.3">
      <c r="A85" s="2">
        <v>20013</v>
      </c>
      <c r="B85" s="2" t="s">
        <v>183</v>
      </c>
      <c r="C85" s="2" t="s">
        <v>184</v>
      </c>
      <c r="D85" s="2" t="s">
        <v>150</v>
      </c>
      <c r="E85" s="2">
        <v>1</v>
      </c>
      <c r="F85" s="2">
        <v>114.9</v>
      </c>
      <c r="G85" s="2">
        <v>1</v>
      </c>
      <c r="H85" s="5">
        <f t="shared" si="4"/>
        <v>229.8</v>
      </c>
      <c r="I85" s="2">
        <f t="shared" si="5"/>
        <v>114.9</v>
      </c>
      <c r="J85" s="2">
        <f t="shared" si="6"/>
        <v>114.9</v>
      </c>
      <c r="K85" s="2" t="str">
        <f t="shared" si="7"/>
        <v>Baixa no estoque</v>
      </c>
    </row>
    <row r="86" spans="1:14" x14ac:dyDescent="0.3">
      <c r="A86" s="2">
        <v>10459</v>
      </c>
      <c r="B86" s="2" t="s">
        <v>185</v>
      </c>
      <c r="C86" s="2" t="s">
        <v>186</v>
      </c>
      <c r="D86" s="2" t="s">
        <v>150</v>
      </c>
      <c r="E86" s="2">
        <v>1</v>
      </c>
      <c r="F86" s="2">
        <v>129.9</v>
      </c>
      <c r="G86" s="2">
        <v>1</v>
      </c>
      <c r="H86" s="5">
        <f t="shared" si="4"/>
        <v>259.8</v>
      </c>
      <c r="I86" s="2">
        <f t="shared" si="5"/>
        <v>129.9</v>
      </c>
      <c r="J86" s="2">
        <f t="shared" si="6"/>
        <v>129.9</v>
      </c>
      <c r="K86" s="2" t="str">
        <f t="shared" si="7"/>
        <v>Baixa no estoque</v>
      </c>
    </row>
    <row r="87" spans="1:14" x14ac:dyDescent="0.3">
      <c r="A87" s="2">
        <v>240024</v>
      </c>
      <c r="B87" s="2" t="s">
        <v>187</v>
      </c>
      <c r="C87" s="2" t="s">
        <v>188</v>
      </c>
      <c r="D87" s="2" t="s">
        <v>150</v>
      </c>
      <c r="E87" s="2">
        <v>1</v>
      </c>
      <c r="F87" s="2">
        <v>125.9</v>
      </c>
      <c r="G87" s="2">
        <v>1</v>
      </c>
      <c r="H87" s="5">
        <f t="shared" si="4"/>
        <v>251.8</v>
      </c>
      <c r="I87" s="2">
        <f t="shared" si="5"/>
        <v>125.9</v>
      </c>
      <c r="J87" s="2">
        <f t="shared" si="6"/>
        <v>125.9</v>
      </c>
      <c r="K87" s="2" t="str">
        <f t="shared" si="7"/>
        <v>Baixa no estoque</v>
      </c>
    </row>
    <row r="88" spans="1:14" x14ac:dyDescent="0.3">
      <c r="A88" s="2">
        <v>20017</v>
      </c>
      <c r="B88" s="2" t="s">
        <v>189</v>
      </c>
      <c r="C88" s="2" t="s">
        <v>190</v>
      </c>
      <c r="D88" s="2" t="s">
        <v>150</v>
      </c>
      <c r="E88" s="2">
        <v>1</v>
      </c>
      <c r="F88" s="2">
        <v>99.9</v>
      </c>
      <c r="G88" s="2">
        <v>1</v>
      </c>
      <c r="H88" s="5">
        <f t="shared" si="4"/>
        <v>199.8</v>
      </c>
      <c r="I88" s="2">
        <f t="shared" si="5"/>
        <v>99.9</v>
      </c>
      <c r="J88" s="2">
        <f t="shared" si="6"/>
        <v>99.9</v>
      </c>
      <c r="K88" s="2" t="str">
        <f t="shared" si="7"/>
        <v>Baixa no estoque</v>
      </c>
    </row>
    <row r="89" spans="1:14" x14ac:dyDescent="0.3">
      <c r="A89" s="6">
        <v>60058</v>
      </c>
      <c r="B89" s="6" t="s">
        <v>191</v>
      </c>
      <c r="C89" s="6" t="s">
        <v>192</v>
      </c>
      <c r="D89" s="6" t="s">
        <v>150</v>
      </c>
      <c r="E89" s="6">
        <v>0</v>
      </c>
      <c r="F89" s="6">
        <v>179.9</v>
      </c>
      <c r="G89" s="6">
        <v>1</v>
      </c>
      <c r="H89" s="6">
        <f t="shared" si="4"/>
        <v>359.8</v>
      </c>
      <c r="I89" s="6">
        <f t="shared" si="5"/>
        <v>179.9</v>
      </c>
      <c r="J89" s="6">
        <f t="shared" si="6"/>
        <v>0</v>
      </c>
      <c r="K89" s="6" t="str">
        <f t="shared" si="7"/>
        <v>Esgotado</v>
      </c>
      <c r="N89">
        <v>359.8</v>
      </c>
    </row>
    <row r="90" spans="1:14" x14ac:dyDescent="0.3">
      <c r="A90" s="2">
        <v>60002</v>
      </c>
      <c r="B90" s="2" t="s">
        <v>193</v>
      </c>
      <c r="C90" s="2" t="s">
        <v>194</v>
      </c>
      <c r="D90" s="2" t="s">
        <v>155</v>
      </c>
      <c r="E90" s="2">
        <v>1</v>
      </c>
      <c r="F90" s="2">
        <v>75.900000000000006</v>
      </c>
      <c r="G90" s="2">
        <v>1</v>
      </c>
      <c r="H90" s="5">
        <f t="shared" si="4"/>
        <v>151.80000000000001</v>
      </c>
      <c r="I90" s="2">
        <f t="shared" si="5"/>
        <v>75.900000000000006</v>
      </c>
      <c r="J90" s="2">
        <f t="shared" si="6"/>
        <v>75.900000000000006</v>
      </c>
      <c r="K90" s="2" t="str">
        <f t="shared" si="7"/>
        <v>Baixa no estoque</v>
      </c>
    </row>
    <row r="91" spans="1:14" x14ac:dyDescent="0.3">
      <c r="A91" s="2">
        <v>130050</v>
      </c>
      <c r="B91" s="2" t="s">
        <v>195</v>
      </c>
      <c r="C91" s="2" t="s">
        <v>196</v>
      </c>
      <c r="D91" s="2" t="s">
        <v>150</v>
      </c>
      <c r="E91" s="2">
        <v>1</v>
      </c>
      <c r="F91" s="2">
        <v>79.900000000000006</v>
      </c>
      <c r="G91" s="2">
        <v>1</v>
      </c>
      <c r="H91" s="5">
        <f t="shared" si="4"/>
        <v>159.80000000000001</v>
      </c>
      <c r="I91" s="2">
        <f t="shared" si="5"/>
        <v>79.900000000000006</v>
      </c>
      <c r="J91" s="2">
        <f t="shared" si="6"/>
        <v>79.900000000000006</v>
      </c>
      <c r="K91" s="2" t="str">
        <f t="shared" si="7"/>
        <v>Baixa no estoque</v>
      </c>
    </row>
    <row r="92" spans="1:14" x14ac:dyDescent="0.3">
      <c r="A92" s="2">
        <v>10503</v>
      </c>
      <c r="B92" s="2" t="s">
        <v>197</v>
      </c>
      <c r="C92" s="2" t="s">
        <v>199</v>
      </c>
      <c r="D92" s="2" t="s">
        <v>150</v>
      </c>
      <c r="E92" s="2">
        <v>1</v>
      </c>
      <c r="F92" s="2">
        <v>85.9</v>
      </c>
      <c r="G92" s="2">
        <v>1</v>
      </c>
      <c r="H92" s="5">
        <f t="shared" si="4"/>
        <v>171.8</v>
      </c>
      <c r="I92" s="2">
        <f t="shared" si="5"/>
        <v>85.9</v>
      </c>
      <c r="J92" s="2">
        <f t="shared" si="6"/>
        <v>85.9</v>
      </c>
      <c r="K92" s="2" t="str">
        <f t="shared" si="7"/>
        <v>Baixa no estoque</v>
      </c>
    </row>
    <row r="93" spans="1:14" x14ac:dyDescent="0.3">
      <c r="A93" s="2">
        <v>110044</v>
      </c>
      <c r="B93" s="2" t="s">
        <v>200</v>
      </c>
      <c r="C93" s="2" t="s">
        <v>201</v>
      </c>
      <c r="D93" s="2" t="s">
        <v>150</v>
      </c>
      <c r="E93" s="2">
        <v>1</v>
      </c>
      <c r="F93" s="2">
        <v>79.900000000000006</v>
      </c>
      <c r="G93" s="2">
        <v>1</v>
      </c>
      <c r="H93" s="5">
        <f t="shared" si="4"/>
        <v>159.80000000000001</v>
      </c>
      <c r="I93" s="2">
        <f t="shared" si="5"/>
        <v>79.900000000000006</v>
      </c>
      <c r="J93" s="2">
        <f t="shared" si="6"/>
        <v>79.900000000000006</v>
      </c>
      <c r="K93" s="2" t="str">
        <f t="shared" si="7"/>
        <v>Baixa no estoque</v>
      </c>
    </row>
    <row r="94" spans="1:14" x14ac:dyDescent="0.3">
      <c r="A94" s="2">
        <v>110047</v>
      </c>
      <c r="B94" s="2" t="s">
        <v>202</v>
      </c>
      <c r="C94" s="2" t="s">
        <v>198</v>
      </c>
      <c r="D94" s="2" t="s">
        <v>150</v>
      </c>
      <c r="E94" s="2">
        <v>1</v>
      </c>
      <c r="F94" s="2">
        <v>115.9</v>
      </c>
      <c r="G94" s="2">
        <v>1</v>
      </c>
      <c r="H94" s="5">
        <f t="shared" si="4"/>
        <v>231.8</v>
      </c>
      <c r="I94" s="2">
        <f t="shared" si="5"/>
        <v>115.9</v>
      </c>
      <c r="J94" s="2">
        <f t="shared" si="6"/>
        <v>115.9</v>
      </c>
      <c r="K94" s="2" t="str">
        <f t="shared" si="7"/>
        <v>Baixa no estoque</v>
      </c>
    </row>
    <row r="95" spans="1:14" x14ac:dyDescent="0.3">
      <c r="A95" s="2">
        <v>11050</v>
      </c>
      <c r="B95" s="2" t="s">
        <v>203</v>
      </c>
      <c r="C95" s="2" t="s">
        <v>204</v>
      </c>
      <c r="D95" s="2" t="s">
        <v>155</v>
      </c>
      <c r="E95" s="2">
        <v>1</v>
      </c>
      <c r="F95" s="2">
        <v>99.9</v>
      </c>
      <c r="G95" s="2">
        <v>1</v>
      </c>
      <c r="H95" s="5">
        <f t="shared" si="4"/>
        <v>199.8</v>
      </c>
      <c r="I95" s="2">
        <f t="shared" si="5"/>
        <v>99.9</v>
      </c>
      <c r="J95" s="2">
        <f t="shared" si="6"/>
        <v>99.9</v>
      </c>
      <c r="K95" s="2" t="str">
        <f t="shared" si="7"/>
        <v>Baixa no estoque</v>
      </c>
    </row>
    <row r="96" spans="1:14" x14ac:dyDescent="0.3">
      <c r="A96" s="2">
        <v>190158</v>
      </c>
      <c r="B96" s="2" t="s">
        <v>205</v>
      </c>
      <c r="C96" s="2" t="s">
        <v>206</v>
      </c>
      <c r="D96" s="2" t="s">
        <v>155</v>
      </c>
      <c r="E96" s="2">
        <v>1</v>
      </c>
      <c r="F96" s="2">
        <v>109.9</v>
      </c>
      <c r="G96" s="2">
        <v>1</v>
      </c>
      <c r="H96" s="5">
        <f t="shared" si="4"/>
        <v>219.8</v>
      </c>
      <c r="I96" s="2">
        <f t="shared" si="5"/>
        <v>109.9</v>
      </c>
      <c r="J96" s="2">
        <f t="shared" si="6"/>
        <v>109.9</v>
      </c>
      <c r="K96" s="2" t="str">
        <f t="shared" si="7"/>
        <v>Baixa no estoque</v>
      </c>
    </row>
    <row r="97" spans="1:11" x14ac:dyDescent="0.3">
      <c r="A97" s="2">
        <v>260004</v>
      </c>
      <c r="B97" s="2" t="s">
        <v>207</v>
      </c>
      <c r="C97" s="2" t="s">
        <v>208</v>
      </c>
      <c r="D97" s="2" t="s">
        <v>155</v>
      </c>
      <c r="E97" s="2">
        <v>1</v>
      </c>
      <c r="F97" s="2">
        <v>139.9</v>
      </c>
      <c r="G97" s="2">
        <v>1</v>
      </c>
      <c r="H97" s="5">
        <f t="shared" si="4"/>
        <v>279.8</v>
      </c>
      <c r="I97" s="2">
        <f t="shared" si="5"/>
        <v>139.9</v>
      </c>
      <c r="J97" s="2">
        <f t="shared" si="6"/>
        <v>139.9</v>
      </c>
      <c r="K97" s="2" t="str">
        <f t="shared" si="7"/>
        <v>Baixa no estoque</v>
      </c>
    </row>
    <row r="98" spans="1:11" x14ac:dyDescent="0.3">
      <c r="A98" s="2"/>
      <c r="B98" s="2"/>
      <c r="C98" s="2"/>
      <c r="D98" s="2"/>
      <c r="E98" s="2">
        <v>1</v>
      </c>
      <c r="F98" s="2"/>
      <c r="G98" s="2">
        <v>1</v>
      </c>
      <c r="H98" s="5">
        <f t="shared" si="4"/>
        <v>0</v>
      </c>
      <c r="I98" s="2">
        <f t="shared" si="5"/>
        <v>0</v>
      </c>
      <c r="J98" s="2">
        <f t="shared" si="6"/>
        <v>0</v>
      </c>
      <c r="K98" s="2" t="str">
        <f t="shared" si="7"/>
        <v>Baixa no estoque</v>
      </c>
    </row>
    <row r="99" spans="1:11" x14ac:dyDescent="0.3">
      <c r="A99" s="2"/>
      <c r="B99" s="2"/>
      <c r="C99" s="2"/>
      <c r="D99" s="2"/>
      <c r="E99" s="2"/>
      <c r="F99" s="2"/>
      <c r="G99" s="2"/>
      <c r="H99" s="5"/>
      <c r="I99" s="2"/>
      <c r="J99" s="2"/>
      <c r="K99" s="2"/>
    </row>
    <row r="100" spans="1:11" x14ac:dyDescent="0.3">
      <c r="A100" s="2"/>
      <c r="B100" s="2"/>
      <c r="C100" s="2"/>
      <c r="D100" s="2"/>
      <c r="E100" s="2"/>
      <c r="F100" s="2"/>
      <c r="G100" s="2"/>
      <c r="H100" s="5"/>
      <c r="I100" s="2"/>
      <c r="J100" s="2"/>
      <c r="K100" s="2"/>
    </row>
    <row r="101" spans="1:11" x14ac:dyDescent="0.3">
      <c r="A101" s="2"/>
      <c r="B101" s="2"/>
      <c r="C101" s="2"/>
      <c r="D101" s="2"/>
      <c r="E101" s="2"/>
      <c r="F101" s="2"/>
      <c r="G101" s="2"/>
      <c r="H101" s="5"/>
      <c r="I101" s="2"/>
      <c r="J101" s="2"/>
      <c r="K101" s="2"/>
    </row>
    <row r="102" spans="1:11" x14ac:dyDescent="0.3">
      <c r="A102" s="2"/>
      <c r="B102" s="2"/>
      <c r="C102" s="2"/>
      <c r="D102" s="2"/>
      <c r="E102" s="2"/>
      <c r="F102" s="2"/>
      <c r="G102" s="2"/>
      <c r="H102" s="5"/>
      <c r="I102" s="2"/>
      <c r="J102" s="2"/>
      <c r="K102" s="2"/>
    </row>
    <row r="103" spans="1:11" x14ac:dyDescent="0.3">
      <c r="A103" s="2"/>
      <c r="B103" s="2"/>
      <c r="C103" s="2"/>
      <c r="D103" s="2"/>
      <c r="E103" s="3" t="s">
        <v>10</v>
      </c>
      <c r="F103" s="3">
        <f>SUMPRODUCT(E2:E98,F2:F98)</f>
        <v>7183.3999999999915</v>
      </c>
      <c r="G103" s="2"/>
      <c r="H103" s="3">
        <f>SUMPRODUCT(E2:E98,H2:H98)</f>
        <v>14369.699999999983</v>
      </c>
      <c r="I103" s="2"/>
      <c r="J103" s="3">
        <f>SUM(J2:J98)</f>
        <v>7186.2999999999911</v>
      </c>
      <c r="K103" s="2"/>
    </row>
  </sheetData>
  <conditionalFormatting sqref="E2:E102">
    <cfRule type="cellIs" dxfId="0" priority="1" operator="lessThanOrEqual">
      <formula>3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"/>
  <sheetViews>
    <sheetView workbookViewId="0">
      <selection activeCell="F7" sqref="F7"/>
    </sheetView>
  </sheetViews>
  <sheetFormatPr defaultRowHeight="14.4" x14ac:dyDescent="0.3"/>
  <cols>
    <col min="1" max="5" width="25" customWidth="1"/>
  </cols>
  <sheetData>
    <row r="1" spans="1:5" x14ac:dyDescent="0.3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</row>
    <row r="2" spans="1:5" x14ac:dyDescent="0.3">
      <c r="A2" s="2" t="s">
        <v>209</v>
      </c>
      <c r="B2" s="2"/>
      <c r="C2" s="2"/>
      <c r="D2" s="2" t="s">
        <v>212</v>
      </c>
      <c r="E2" s="2" t="s">
        <v>213</v>
      </c>
    </row>
    <row r="3" spans="1:5" x14ac:dyDescent="0.3">
      <c r="A3" s="2" t="s">
        <v>210</v>
      </c>
      <c r="B3" s="2"/>
      <c r="C3" s="2"/>
      <c r="D3" s="2" t="s">
        <v>211</v>
      </c>
      <c r="E3" s="2" t="s">
        <v>214</v>
      </c>
    </row>
    <row r="4" spans="1:5" x14ac:dyDescent="0.3">
      <c r="A4" s="2"/>
      <c r="B4" s="2"/>
      <c r="C4" s="2"/>
      <c r="D4" s="2"/>
      <c r="E4" s="2"/>
    </row>
    <row r="5" spans="1:5" x14ac:dyDescent="0.3">
      <c r="A5" s="2"/>
      <c r="B5" s="2"/>
      <c r="C5" s="2"/>
      <c r="D5" s="2"/>
      <c r="E5" s="2"/>
    </row>
    <row r="6" spans="1:5" x14ac:dyDescent="0.3">
      <c r="A6" s="2"/>
      <c r="B6" s="2"/>
      <c r="C6" s="2"/>
      <c r="D6" s="2"/>
      <c r="E6" s="2"/>
    </row>
    <row r="7" spans="1:5" x14ac:dyDescent="0.3">
      <c r="A7" s="2"/>
      <c r="B7" s="2"/>
      <c r="C7" s="2"/>
      <c r="D7" s="2"/>
      <c r="E7" s="2"/>
    </row>
    <row r="8" spans="1:5" x14ac:dyDescent="0.3">
      <c r="A8" s="2"/>
      <c r="B8" s="2"/>
      <c r="C8" s="2"/>
      <c r="D8" s="2"/>
      <c r="E8" s="2"/>
    </row>
    <row r="9" spans="1:5" x14ac:dyDescent="0.3">
      <c r="A9" s="2"/>
      <c r="B9" s="2"/>
      <c r="C9" s="2"/>
      <c r="D9" s="2"/>
      <c r="E9" s="2"/>
    </row>
    <row r="10" spans="1:5" x14ac:dyDescent="0.3">
      <c r="A10" s="2"/>
      <c r="B10" s="2"/>
      <c r="C10" s="2"/>
      <c r="D10" s="2"/>
      <c r="E10" s="2"/>
    </row>
    <row r="11" spans="1:5" x14ac:dyDescent="0.3">
      <c r="A11" s="2"/>
      <c r="B11" s="2"/>
      <c r="C11" s="2"/>
      <c r="D11" s="2"/>
      <c r="E11" s="2"/>
    </row>
    <row r="12" spans="1:5" x14ac:dyDescent="0.3">
      <c r="A12" s="2"/>
      <c r="B12" s="2"/>
      <c r="C12" s="2"/>
      <c r="D12" s="2"/>
      <c r="E12" s="2"/>
    </row>
    <row r="13" spans="1:5" x14ac:dyDescent="0.3">
      <c r="A13" s="2"/>
      <c r="B13" s="2"/>
      <c r="C13" s="2"/>
      <c r="D13" s="2"/>
      <c r="E13" s="2"/>
    </row>
    <row r="14" spans="1:5" x14ac:dyDescent="0.3">
      <c r="A14" s="2"/>
      <c r="B14" s="2"/>
      <c r="C14" s="2"/>
      <c r="D14" s="2"/>
      <c r="E14" s="2"/>
    </row>
    <row r="15" spans="1:5" x14ac:dyDescent="0.3">
      <c r="A15" s="2"/>
      <c r="B15" s="2"/>
      <c r="C15" s="2"/>
      <c r="D15" s="2"/>
      <c r="E15" s="2"/>
    </row>
    <row r="16" spans="1:5" x14ac:dyDescent="0.3">
      <c r="A16" s="2"/>
      <c r="B16" s="2"/>
      <c r="C16" s="2"/>
      <c r="D16" s="2"/>
      <c r="E16" s="2"/>
    </row>
    <row r="17" spans="1:5" x14ac:dyDescent="0.3">
      <c r="A17" s="2"/>
      <c r="B17" s="2"/>
      <c r="C17" s="2"/>
      <c r="D17" s="2"/>
      <c r="E17" s="2"/>
    </row>
    <row r="18" spans="1:5" x14ac:dyDescent="0.3">
      <c r="A18" s="2"/>
      <c r="B18" s="2"/>
      <c r="C18" s="2"/>
      <c r="D18" s="2"/>
      <c r="E18" s="2"/>
    </row>
    <row r="19" spans="1:5" x14ac:dyDescent="0.3">
      <c r="A19" s="2"/>
      <c r="B19" s="2"/>
      <c r="C19" s="2"/>
      <c r="D19" s="2"/>
      <c r="E19" s="2"/>
    </row>
    <row r="20" spans="1:5" x14ac:dyDescent="0.3">
      <c r="A20" s="2"/>
      <c r="B20" s="2"/>
      <c r="C20" s="2"/>
      <c r="D20" s="2"/>
      <c r="E20" s="2"/>
    </row>
    <row r="21" spans="1:5" x14ac:dyDescent="0.3">
      <c r="A21" s="2"/>
      <c r="B21" s="2"/>
      <c r="C21" s="2"/>
      <c r="D21" s="2"/>
      <c r="E21" s="2"/>
    </row>
    <row r="22" spans="1:5" x14ac:dyDescent="0.3">
      <c r="A22" s="2"/>
      <c r="B22" s="2"/>
      <c r="C22" s="2"/>
      <c r="D22" s="2"/>
      <c r="E22" s="2"/>
    </row>
    <row r="23" spans="1:5" x14ac:dyDescent="0.3">
      <c r="A23" s="2"/>
      <c r="B23" s="2"/>
      <c r="C23" s="2"/>
      <c r="D23" s="2"/>
      <c r="E23" s="2"/>
    </row>
    <row r="24" spans="1:5" x14ac:dyDescent="0.3">
      <c r="A24" s="2"/>
      <c r="B24" s="2"/>
      <c r="C24" s="2"/>
      <c r="D24" s="2"/>
      <c r="E24" s="2"/>
    </row>
    <row r="25" spans="1:5" x14ac:dyDescent="0.3">
      <c r="A25" s="2"/>
      <c r="B25" s="2"/>
      <c r="C25" s="2"/>
      <c r="D25" s="2"/>
      <c r="E25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8"/>
  <sheetViews>
    <sheetView workbookViewId="0">
      <selection sqref="A1:G108"/>
    </sheetView>
  </sheetViews>
  <sheetFormatPr defaultRowHeight="14.4" x14ac:dyDescent="0.3"/>
  <cols>
    <col min="1" max="7" width="25" customWidth="1"/>
  </cols>
  <sheetData>
    <row r="1" spans="1:7" x14ac:dyDescent="0.3">
      <c r="A1" s="1" t="s">
        <v>16</v>
      </c>
      <c r="B1" s="1" t="s">
        <v>17</v>
      </c>
      <c r="C1" s="1" t="s">
        <v>0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 x14ac:dyDescent="0.3">
      <c r="A2" s="2"/>
      <c r="B2" s="2"/>
      <c r="C2" s="2"/>
      <c r="D2" s="2"/>
      <c r="E2" s="2"/>
      <c r="F2" s="2"/>
      <c r="G2" s="2"/>
    </row>
    <row r="3" spans="1:7" x14ac:dyDescent="0.3">
      <c r="A3" s="2"/>
      <c r="B3" s="2"/>
      <c r="C3" s="2"/>
      <c r="D3" s="2"/>
      <c r="E3" s="2"/>
      <c r="F3" s="2"/>
      <c r="G3" s="2"/>
    </row>
    <row r="4" spans="1:7" x14ac:dyDescent="0.3">
      <c r="A4" s="2"/>
      <c r="B4" s="2"/>
      <c r="C4" s="2"/>
      <c r="D4" s="2"/>
      <c r="E4" s="2"/>
      <c r="F4" s="2"/>
      <c r="G4" s="2"/>
    </row>
    <row r="5" spans="1:7" x14ac:dyDescent="0.3">
      <c r="A5" s="2"/>
      <c r="B5" s="2"/>
      <c r="C5" s="2"/>
      <c r="D5" s="2"/>
      <c r="E5" s="2"/>
      <c r="F5" s="2"/>
      <c r="G5" s="2"/>
    </row>
    <row r="6" spans="1:7" x14ac:dyDescent="0.3">
      <c r="A6" s="2"/>
      <c r="B6" s="2"/>
      <c r="C6" s="2"/>
      <c r="D6" s="2"/>
      <c r="E6" s="2"/>
      <c r="F6" s="2"/>
      <c r="G6" s="2"/>
    </row>
    <row r="7" spans="1:7" x14ac:dyDescent="0.3">
      <c r="A7" s="2"/>
      <c r="B7" s="2"/>
      <c r="C7" s="2"/>
      <c r="D7" s="2"/>
      <c r="E7" s="2"/>
      <c r="F7" s="2"/>
      <c r="G7" s="2"/>
    </row>
    <row r="8" spans="1:7" x14ac:dyDescent="0.3">
      <c r="A8" s="2"/>
      <c r="B8" s="2"/>
      <c r="C8" s="2"/>
      <c r="D8" s="2"/>
      <c r="E8" s="2"/>
      <c r="F8" s="2"/>
      <c r="G8" s="2"/>
    </row>
    <row r="9" spans="1:7" x14ac:dyDescent="0.3">
      <c r="A9" s="2"/>
      <c r="B9" s="2"/>
      <c r="C9" s="2"/>
      <c r="D9" s="2"/>
      <c r="E9" s="2"/>
      <c r="F9" s="2"/>
      <c r="G9" s="2"/>
    </row>
    <row r="10" spans="1:7" x14ac:dyDescent="0.3">
      <c r="A10" s="2"/>
      <c r="B10" s="2"/>
      <c r="C10" s="2"/>
      <c r="D10" s="2"/>
      <c r="E10" s="2"/>
      <c r="F10" s="2"/>
      <c r="G10" s="2"/>
    </row>
    <row r="11" spans="1:7" x14ac:dyDescent="0.3">
      <c r="A11" s="2"/>
      <c r="B11" s="2"/>
      <c r="C11" s="2"/>
      <c r="D11" s="2"/>
      <c r="E11" s="2"/>
      <c r="F11" s="2"/>
      <c r="G11" s="2"/>
    </row>
    <row r="12" spans="1:7" x14ac:dyDescent="0.3">
      <c r="A12" s="2"/>
      <c r="B12" s="2"/>
      <c r="C12" s="2"/>
      <c r="D12" s="2"/>
      <c r="E12" s="2"/>
      <c r="F12" s="2"/>
      <c r="G12" s="2"/>
    </row>
    <row r="13" spans="1:7" x14ac:dyDescent="0.3">
      <c r="A13" s="2"/>
      <c r="B13" s="2"/>
      <c r="C13" s="2"/>
      <c r="D13" s="2"/>
      <c r="E13" s="2"/>
      <c r="F13" s="2"/>
      <c r="G13" s="2"/>
    </row>
    <row r="14" spans="1:7" x14ac:dyDescent="0.3">
      <c r="A14" s="2"/>
      <c r="B14" s="2"/>
      <c r="C14" s="2"/>
      <c r="D14" s="2"/>
      <c r="E14" s="2"/>
      <c r="F14" s="2"/>
      <c r="G14" s="2"/>
    </row>
    <row r="15" spans="1:7" x14ac:dyDescent="0.3">
      <c r="A15" s="2"/>
      <c r="B15" s="2"/>
      <c r="C15" s="2"/>
      <c r="D15" s="2"/>
      <c r="E15" s="2"/>
      <c r="F15" s="2"/>
      <c r="G15" s="2"/>
    </row>
    <row r="16" spans="1:7" x14ac:dyDescent="0.3">
      <c r="A16" s="2"/>
      <c r="B16" s="2"/>
      <c r="C16" s="2"/>
      <c r="D16" s="2"/>
      <c r="E16" s="2"/>
      <c r="F16" s="2"/>
      <c r="G16" s="2"/>
    </row>
    <row r="17" spans="1:7" x14ac:dyDescent="0.3">
      <c r="A17" s="2"/>
      <c r="B17" s="2"/>
      <c r="C17" s="2"/>
      <c r="D17" s="2"/>
      <c r="E17" s="2"/>
      <c r="F17" s="2"/>
      <c r="G17" s="2"/>
    </row>
    <row r="18" spans="1:7" x14ac:dyDescent="0.3">
      <c r="A18" s="2"/>
      <c r="B18" s="2"/>
      <c r="C18" s="2"/>
      <c r="D18" s="2"/>
      <c r="E18" s="2"/>
      <c r="F18" s="2"/>
      <c r="G18" s="2"/>
    </row>
    <row r="19" spans="1:7" x14ac:dyDescent="0.3">
      <c r="A19" s="2"/>
      <c r="B19" s="2"/>
      <c r="C19" s="2"/>
      <c r="D19" s="2"/>
      <c r="E19" s="2"/>
      <c r="F19" s="2"/>
      <c r="G19" s="2"/>
    </row>
    <row r="20" spans="1:7" x14ac:dyDescent="0.3">
      <c r="A20" s="2"/>
      <c r="B20" s="2"/>
      <c r="C20" s="2"/>
      <c r="D20" s="2"/>
      <c r="E20" s="2"/>
      <c r="F20" s="2"/>
      <c r="G20" s="2"/>
    </row>
    <row r="21" spans="1:7" x14ac:dyDescent="0.3">
      <c r="A21" s="2"/>
      <c r="B21" s="2"/>
      <c r="C21" s="2"/>
      <c r="D21" s="2"/>
      <c r="E21" s="2"/>
      <c r="F21" s="2"/>
      <c r="G21" s="2"/>
    </row>
    <row r="22" spans="1:7" x14ac:dyDescent="0.3">
      <c r="A22" s="2"/>
      <c r="B22" s="2"/>
      <c r="C22" s="2"/>
      <c r="D22" s="2"/>
      <c r="E22" s="2"/>
      <c r="F22" s="2"/>
      <c r="G22" s="2"/>
    </row>
    <row r="23" spans="1:7" x14ac:dyDescent="0.3">
      <c r="A23" s="2"/>
      <c r="B23" s="2"/>
      <c r="C23" s="2"/>
      <c r="D23" s="2"/>
      <c r="E23" s="2"/>
      <c r="F23" s="2"/>
      <c r="G23" s="2"/>
    </row>
    <row r="24" spans="1:7" x14ac:dyDescent="0.3">
      <c r="A24" s="2"/>
      <c r="B24" s="2"/>
      <c r="C24" s="2"/>
      <c r="D24" s="2"/>
      <c r="E24" s="2"/>
      <c r="F24" s="2"/>
      <c r="G24" s="2"/>
    </row>
    <row r="25" spans="1:7" x14ac:dyDescent="0.3">
      <c r="A25" s="2"/>
      <c r="B25" s="2"/>
      <c r="C25" s="2"/>
      <c r="D25" s="2"/>
      <c r="E25" s="2"/>
      <c r="F25" s="2"/>
      <c r="G25" s="2"/>
    </row>
    <row r="26" spans="1:7" x14ac:dyDescent="0.3">
      <c r="A26" s="2"/>
      <c r="B26" s="2"/>
      <c r="C26" s="2"/>
      <c r="D26" s="2"/>
      <c r="E26" s="2"/>
      <c r="F26" s="2"/>
      <c r="G26" s="2"/>
    </row>
    <row r="27" spans="1:7" x14ac:dyDescent="0.3">
      <c r="A27" s="2"/>
      <c r="B27" s="2"/>
      <c r="C27" s="2"/>
      <c r="D27" s="2"/>
      <c r="E27" s="2"/>
      <c r="F27" s="2"/>
      <c r="G27" s="2"/>
    </row>
    <row r="28" spans="1:7" x14ac:dyDescent="0.3">
      <c r="A28" s="2"/>
      <c r="B28" s="2"/>
      <c r="C28" s="2"/>
      <c r="D28" s="2"/>
      <c r="E28" s="2"/>
      <c r="F28" s="2"/>
      <c r="G28" s="2"/>
    </row>
    <row r="29" spans="1:7" x14ac:dyDescent="0.3">
      <c r="A29" s="2"/>
      <c r="B29" s="2"/>
      <c r="C29" s="2"/>
      <c r="D29" s="2"/>
      <c r="E29" s="2"/>
      <c r="F29" s="2"/>
      <c r="G29" s="2"/>
    </row>
    <row r="30" spans="1:7" x14ac:dyDescent="0.3">
      <c r="A30" s="2"/>
      <c r="B30" s="2"/>
      <c r="C30" s="2"/>
      <c r="D30" s="2"/>
      <c r="E30" s="2"/>
      <c r="F30" s="2"/>
      <c r="G30" s="2"/>
    </row>
    <row r="31" spans="1:7" x14ac:dyDescent="0.3">
      <c r="A31" s="2"/>
      <c r="B31" s="2"/>
      <c r="C31" s="2"/>
      <c r="D31" s="2"/>
      <c r="E31" s="2"/>
      <c r="F31" s="2"/>
      <c r="G31" s="2"/>
    </row>
    <row r="32" spans="1:7" x14ac:dyDescent="0.3">
      <c r="A32" s="2"/>
      <c r="B32" s="2"/>
      <c r="C32" s="2"/>
      <c r="D32" s="2"/>
      <c r="E32" s="2"/>
      <c r="F32" s="2"/>
      <c r="G32" s="2"/>
    </row>
    <row r="33" spans="1:7" x14ac:dyDescent="0.3">
      <c r="A33" s="2"/>
      <c r="B33" s="2"/>
      <c r="C33" s="2"/>
      <c r="D33" s="2"/>
      <c r="E33" s="2"/>
      <c r="F33" s="2"/>
      <c r="G33" s="2"/>
    </row>
    <row r="34" spans="1:7" x14ac:dyDescent="0.3">
      <c r="A34" s="2"/>
      <c r="B34" s="2"/>
      <c r="C34" s="2"/>
      <c r="D34" s="2"/>
      <c r="E34" s="2"/>
      <c r="F34" s="2"/>
      <c r="G34" s="2"/>
    </row>
    <row r="35" spans="1:7" x14ac:dyDescent="0.3">
      <c r="A35" s="2"/>
      <c r="B35" s="2"/>
      <c r="C35" s="2"/>
      <c r="D35" s="2"/>
      <c r="E35" s="2"/>
      <c r="F35" s="2"/>
      <c r="G35" s="2"/>
    </row>
    <row r="36" spans="1:7" x14ac:dyDescent="0.3">
      <c r="A36" s="2"/>
      <c r="B36" s="2"/>
      <c r="C36" s="2"/>
      <c r="D36" s="2"/>
      <c r="E36" s="2"/>
      <c r="F36" s="2"/>
      <c r="G36" s="2"/>
    </row>
    <row r="37" spans="1:7" x14ac:dyDescent="0.3">
      <c r="A37" s="2"/>
      <c r="B37" s="2"/>
      <c r="C37" s="2"/>
      <c r="D37" s="2"/>
      <c r="E37" s="2"/>
      <c r="F37" s="2"/>
      <c r="G37" s="2"/>
    </row>
    <row r="38" spans="1:7" x14ac:dyDescent="0.3">
      <c r="A38" s="2"/>
      <c r="B38" s="2"/>
      <c r="C38" s="2"/>
      <c r="D38" s="2"/>
      <c r="E38" s="2"/>
      <c r="F38" s="2"/>
      <c r="G38" s="2"/>
    </row>
    <row r="39" spans="1:7" x14ac:dyDescent="0.3">
      <c r="A39" s="2"/>
      <c r="B39" s="2"/>
      <c r="C39" s="2"/>
      <c r="D39" s="2"/>
      <c r="E39" s="2"/>
      <c r="F39" s="2"/>
      <c r="G39" s="2"/>
    </row>
    <row r="40" spans="1:7" x14ac:dyDescent="0.3">
      <c r="A40" s="2"/>
      <c r="B40" s="2"/>
      <c r="C40" s="2"/>
      <c r="D40" s="2"/>
      <c r="E40" s="2"/>
      <c r="F40" s="2"/>
      <c r="G40" s="2"/>
    </row>
    <row r="41" spans="1:7" x14ac:dyDescent="0.3">
      <c r="A41" s="2"/>
      <c r="B41" s="2"/>
      <c r="C41" s="2"/>
      <c r="D41" s="2"/>
      <c r="E41" s="2"/>
      <c r="F41" s="2"/>
      <c r="G41" s="2"/>
    </row>
    <row r="42" spans="1:7" x14ac:dyDescent="0.3">
      <c r="A42" s="2"/>
      <c r="B42" s="2"/>
      <c r="C42" s="2"/>
      <c r="D42" s="2"/>
      <c r="E42" s="2"/>
      <c r="F42" s="2"/>
      <c r="G42" s="2"/>
    </row>
    <row r="43" spans="1:7" x14ac:dyDescent="0.3">
      <c r="A43" s="2"/>
      <c r="B43" s="2"/>
      <c r="C43" s="2"/>
      <c r="D43" s="2"/>
      <c r="E43" s="2"/>
      <c r="F43" s="2"/>
      <c r="G43" s="2"/>
    </row>
    <row r="44" spans="1:7" x14ac:dyDescent="0.3">
      <c r="A44" s="2"/>
      <c r="B44" s="2"/>
      <c r="C44" s="2"/>
      <c r="D44" s="2"/>
      <c r="E44" s="2"/>
      <c r="F44" s="2"/>
      <c r="G44" s="2"/>
    </row>
    <row r="45" spans="1:7" x14ac:dyDescent="0.3">
      <c r="A45" s="2"/>
      <c r="B45" s="2"/>
      <c r="C45" s="2"/>
      <c r="D45" s="2"/>
      <c r="E45" s="2"/>
      <c r="F45" s="2"/>
      <c r="G45" s="2"/>
    </row>
    <row r="46" spans="1:7" x14ac:dyDescent="0.3">
      <c r="A46" s="2"/>
      <c r="B46" s="2"/>
      <c r="C46" s="2"/>
      <c r="D46" s="2"/>
      <c r="E46" s="2"/>
      <c r="F46" s="2"/>
      <c r="G46" s="2"/>
    </row>
    <row r="47" spans="1:7" x14ac:dyDescent="0.3">
      <c r="A47" s="2"/>
      <c r="B47" s="2"/>
      <c r="C47" s="2"/>
      <c r="D47" s="2"/>
      <c r="E47" s="2"/>
      <c r="F47" s="2"/>
      <c r="G47" s="2"/>
    </row>
    <row r="48" spans="1:7" x14ac:dyDescent="0.3">
      <c r="A48" s="2"/>
      <c r="B48" s="2"/>
      <c r="C48" s="2"/>
      <c r="D48" s="2"/>
      <c r="E48" s="2"/>
      <c r="F48" s="2"/>
      <c r="G48" s="2"/>
    </row>
    <row r="49" spans="1:7" x14ac:dyDescent="0.3">
      <c r="A49" s="2"/>
      <c r="B49" s="2"/>
      <c r="C49" s="2"/>
      <c r="D49" s="2"/>
      <c r="E49" s="2"/>
      <c r="F49" s="2"/>
      <c r="G49" s="2"/>
    </row>
    <row r="50" spans="1:7" x14ac:dyDescent="0.3">
      <c r="A50" s="2"/>
      <c r="B50" s="2"/>
      <c r="C50" s="2"/>
      <c r="D50" s="2"/>
      <c r="E50" s="2"/>
      <c r="F50" s="2"/>
      <c r="G50" s="2"/>
    </row>
    <row r="51" spans="1:7" x14ac:dyDescent="0.3">
      <c r="A51" s="2"/>
      <c r="B51" s="2"/>
      <c r="C51" s="2"/>
      <c r="D51" s="2"/>
      <c r="E51" s="2"/>
      <c r="F51" s="2"/>
      <c r="G51" s="2"/>
    </row>
    <row r="52" spans="1:7" x14ac:dyDescent="0.3">
      <c r="A52" s="2"/>
      <c r="B52" s="2"/>
      <c r="C52" s="2"/>
      <c r="D52" s="2"/>
      <c r="E52" s="2"/>
      <c r="F52" s="2"/>
      <c r="G52" s="2"/>
    </row>
    <row r="53" spans="1:7" x14ac:dyDescent="0.3">
      <c r="A53" s="2"/>
      <c r="B53" s="2"/>
      <c r="C53" s="2"/>
      <c r="D53" s="2"/>
      <c r="E53" s="2"/>
      <c r="F53" s="2"/>
      <c r="G53" s="2"/>
    </row>
    <row r="54" spans="1:7" x14ac:dyDescent="0.3">
      <c r="A54" s="2"/>
      <c r="B54" s="2"/>
      <c r="C54" s="2"/>
      <c r="D54" s="2"/>
      <c r="E54" s="2"/>
      <c r="F54" s="2"/>
      <c r="G54" s="2"/>
    </row>
    <row r="55" spans="1:7" x14ac:dyDescent="0.3">
      <c r="A55" s="2"/>
      <c r="B55" s="2"/>
      <c r="C55" s="2"/>
      <c r="D55" s="2"/>
      <c r="E55" s="2"/>
      <c r="F55" s="2"/>
      <c r="G55" s="2"/>
    </row>
    <row r="56" spans="1:7" x14ac:dyDescent="0.3">
      <c r="A56" s="2"/>
      <c r="B56" s="2"/>
      <c r="C56" s="2"/>
      <c r="D56" s="2"/>
      <c r="E56" s="2"/>
      <c r="F56" s="2"/>
      <c r="G56" s="2"/>
    </row>
    <row r="57" spans="1:7" x14ac:dyDescent="0.3">
      <c r="A57" s="2"/>
      <c r="B57" s="2"/>
      <c r="C57" s="2"/>
      <c r="D57" s="2"/>
      <c r="E57" s="2"/>
      <c r="F57" s="2"/>
      <c r="G57" s="2"/>
    </row>
    <row r="58" spans="1:7" x14ac:dyDescent="0.3">
      <c r="A58" s="2"/>
      <c r="B58" s="2"/>
      <c r="C58" s="2"/>
      <c r="D58" s="2"/>
      <c r="E58" s="2"/>
      <c r="F58" s="2"/>
      <c r="G58" s="2"/>
    </row>
    <row r="59" spans="1:7" x14ac:dyDescent="0.3">
      <c r="A59" s="2"/>
      <c r="B59" s="2"/>
      <c r="C59" s="2"/>
      <c r="D59" s="2"/>
      <c r="E59" s="2"/>
      <c r="F59" s="2"/>
      <c r="G59" s="2"/>
    </row>
    <row r="60" spans="1:7" x14ac:dyDescent="0.3">
      <c r="A60" s="2"/>
      <c r="B60" s="2"/>
      <c r="C60" s="2"/>
      <c r="D60" s="2"/>
      <c r="E60" s="2"/>
      <c r="F60" s="2"/>
      <c r="G60" s="2"/>
    </row>
    <row r="61" spans="1:7" x14ac:dyDescent="0.3">
      <c r="A61" s="2"/>
      <c r="B61" s="2"/>
      <c r="C61" s="2"/>
      <c r="D61" s="2"/>
      <c r="E61" s="2"/>
      <c r="F61" s="2"/>
      <c r="G61" s="2"/>
    </row>
    <row r="62" spans="1:7" x14ac:dyDescent="0.3">
      <c r="A62" s="2"/>
      <c r="B62" s="2"/>
      <c r="C62" s="2"/>
      <c r="D62" s="2"/>
      <c r="E62" s="2"/>
      <c r="F62" s="2"/>
      <c r="G62" s="2"/>
    </row>
    <row r="63" spans="1:7" x14ac:dyDescent="0.3">
      <c r="A63" s="2"/>
      <c r="B63" s="2"/>
      <c r="C63" s="2"/>
      <c r="D63" s="2"/>
      <c r="E63" s="2"/>
      <c r="F63" s="2"/>
      <c r="G63" s="2"/>
    </row>
    <row r="64" spans="1:7" x14ac:dyDescent="0.3">
      <c r="A64" s="2"/>
      <c r="B64" s="2"/>
      <c r="C64" s="2"/>
      <c r="D64" s="2"/>
      <c r="E64" s="2"/>
      <c r="F64" s="2"/>
      <c r="G64" s="2"/>
    </row>
    <row r="65" spans="1:7" x14ac:dyDescent="0.3">
      <c r="A65" s="2"/>
      <c r="B65" s="2"/>
      <c r="C65" s="2"/>
      <c r="D65" s="2"/>
      <c r="E65" s="2"/>
      <c r="F65" s="2"/>
      <c r="G65" s="2"/>
    </row>
    <row r="66" spans="1:7" x14ac:dyDescent="0.3">
      <c r="A66" s="2"/>
      <c r="B66" s="2"/>
      <c r="C66" s="2"/>
      <c r="D66" s="2"/>
      <c r="E66" s="2"/>
      <c r="F66" s="2"/>
      <c r="G66" s="2"/>
    </row>
    <row r="67" spans="1:7" x14ac:dyDescent="0.3">
      <c r="A67" s="2"/>
      <c r="B67" s="2"/>
      <c r="C67" s="2"/>
      <c r="D67" s="2"/>
      <c r="E67" s="2"/>
      <c r="F67" s="2"/>
      <c r="G67" s="2"/>
    </row>
    <row r="68" spans="1:7" x14ac:dyDescent="0.3">
      <c r="A68" s="2"/>
      <c r="B68" s="2"/>
      <c r="C68" s="2"/>
      <c r="D68" s="2"/>
      <c r="E68" s="2"/>
      <c r="F68" s="2"/>
      <c r="G68" s="2"/>
    </row>
    <row r="69" spans="1:7" x14ac:dyDescent="0.3">
      <c r="A69" s="2"/>
      <c r="B69" s="2"/>
      <c r="C69" s="2"/>
      <c r="D69" s="2"/>
      <c r="E69" s="2"/>
      <c r="F69" s="2"/>
      <c r="G69" s="2"/>
    </row>
    <row r="70" spans="1:7" x14ac:dyDescent="0.3">
      <c r="A70" s="2"/>
      <c r="B70" s="2"/>
      <c r="C70" s="2"/>
      <c r="D70" s="2"/>
      <c r="E70" s="2"/>
      <c r="F70" s="2"/>
      <c r="G70" s="2"/>
    </row>
    <row r="71" spans="1:7" x14ac:dyDescent="0.3">
      <c r="A71" s="2"/>
      <c r="B71" s="2"/>
      <c r="C71" s="2"/>
      <c r="D71" s="2"/>
      <c r="E71" s="2"/>
      <c r="F71" s="2"/>
      <c r="G71" s="2"/>
    </row>
    <row r="72" spans="1:7" x14ac:dyDescent="0.3">
      <c r="A72" s="2"/>
      <c r="B72" s="2"/>
      <c r="C72" s="2"/>
      <c r="D72" s="2"/>
      <c r="E72" s="2"/>
      <c r="F72" s="2"/>
      <c r="G72" s="2"/>
    </row>
    <row r="73" spans="1:7" x14ac:dyDescent="0.3">
      <c r="A73" s="2"/>
      <c r="B73" s="2"/>
      <c r="C73" s="2"/>
      <c r="D73" s="2"/>
      <c r="E73" s="2"/>
      <c r="F73" s="2"/>
      <c r="G73" s="2"/>
    </row>
    <row r="74" spans="1:7" x14ac:dyDescent="0.3">
      <c r="A74" s="2"/>
      <c r="B74" s="2"/>
      <c r="C74" s="2"/>
      <c r="D74" s="2"/>
      <c r="E74" s="2"/>
      <c r="F74" s="2"/>
      <c r="G74" s="2"/>
    </row>
    <row r="75" spans="1:7" x14ac:dyDescent="0.3">
      <c r="A75" s="2"/>
      <c r="B75" s="2"/>
      <c r="C75" s="2"/>
      <c r="D75" s="2"/>
      <c r="E75" s="2"/>
      <c r="F75" s="2"/>
      <c r="G75" s="2"/>
    </row>
    <row r="76" spans="1:7" x14ac:dyDescent="0.3">
      <c r="A76" s="2"/>
      <c r="B76" s="2"/>
      <c r="C76" s="2"/>
      <c r="D76" s="2"/>
      <c r="E76" s="2"/>
      <c r="F76" s="2"/>
      <c r="G76" s="2"/>
    </row>
    <row r="77" spans="1:7" x14ac:dyDescent="0.3">
      <c r="A77" s="2"/>
      <c r="B77" s="2"/>
      <c r="C77" s="2"/>
      <c r="D77" s="2"/>
      <c r="E77" s="2"/>
      <c r="F77" s="2"/>
      <c r="G77" s="2"/>
    </row>
    <row r="78" spans="1:7" x14ac:dyDescent="0.3">
      <c r="A78" s="2"/>
      <c r="B78" s="2"/>
      <c r="C78" s="2"/>
      <c r="D78" s="2"/>
      <c r="E78" s="2"/>
      <c r="F78" s="2"/>
      <c r="G78" s="2"/>
    </row>
    <row r="79" spans="1:7" x14ac:dyDescent="0.3">
      <c r="A79" s="2"/>
      <c r="B79" s="2"/>
      <c r="C79" s="2"/>
      <c r="D79" s="2"/>
      <c r="E79" s="2"/>
      <c r="F79" s="2"/>
      <c r="G79" s="2"/>
    </row>
    <row r="80" spans="1:7" x14ac:dyDescent="0.3">
      <c r="A80" s="2"/>
      <c r="B80" s="2"/>
      <c r="C80" s="2"/>
      <c r="D80" s="2"/>
      <c r="E80" s="2"/>
      <c r="F80" s="2"/>
      <c r="G80" s="2"/>
    </row>
    <row r="81" spans="1:7" x14ac:dyDescent="0.3">
      <c r="A81" s="2"/>
      <c r="B81" s="2"/>
      <c r="C81" s="2"/>
      <c r="D81" s="2"/>
      <c r="E81" s="2"/>
      <c r="F81" s="2"/>
      <c r="G81" s="2"/>
    </row>
    <row r="82" spans="1:7" x14ac:dyDescent="0.3">
      <c r="A82" s="2"/>
      <c r="B82" s="2"/>
      <c r="C82" s="2"/>
      <c r="D82" s="2"/>
      <c r="E82" s="2"/>
      <c r="F82" s="2"/>
      <c r="G82" s="2"/>
    </row>
    <row r="83" spans="1:7" x14ac:dyDescent="0.3">
      <c r="A83" s="2"/>
      <c r="B83" s="2"/>
      <c r="C83" s="2"/>
      <c r="D83" s="2"/>
      <c r="E83" s="2"/>
      <c r="F83" s="2"/>
      <c r="G83" s="2"/>
    </row>
    <row r="84" spans="1:7" x14ac:dyDescent="0.3">
      <c r="A84" s="2"/>
      <c r="B84" s="2"/>
      <c r="C84" s="2"/>
      <c r="D84" s="2"/>
      <c r="E84" s="2"/>
      <c r="F84" s="2"/>
      <c r="G84" s="2"/>
    </row>
    <row r="85" spans="1:7" x14ac:dyDescent="0.3">
      <c r="A85" s="2"/>
      <c r="B85" s="2"/>
      <c r="C85" s="2"/>
      <c r="D85" s="2"/>
      <c r="E85" s="2"/>
      <c r="F85" s="2"/>
      <c r="G85" s="2"/>
    </row>
    <row r="86" spans="1:7" x14ac:dyDescent="0.3">
      <c r="A86" s="2"/>
      <c r="B86" s="2"/>
      <c r="C86" s="2"/>
      <c r="D86" s="2"/>
      <c r="E86" s="2"/>
      <c r="F86" s="2"/>
      <c r="G86" s="2"/>
    </row>
    <row r="87" spans="1:7" x14ac:dyDescent="0.3">
      <c r="A87" s="2"/>
      <c r="B87" s="2"/>
      <c r="C87" s="2"/>
      <c r="D87" s="2"/>
      <c r="E87" s="2"/>
      <c r="F87" s="2"/>
      <c r="G87" s="2"/>
    </row>
    <row r="88" spans="1:7" x14ac:dyDescent="0.3">
      <c r="A88" s="2"/>
      <c r="B88" s="2"/>
      <c r="C88" s="2"/>
      <c r="D88" s="2"/>
      <c r="E88" s="2"/>
      <c r="F88" s="2"/>
      <c r="G88" s="2"/>
    </row>
    <row r="89" spans="1:7" x14ac:dyDescent="0.3">
      <c r="A89" s="2"/>
      <c r="B89" s="2"/>
      <c r="C89" s="2"/>
      <c r="D89" s="2"/>
      <c r="E89" s="2"/>
      <c r="F89" s="2"/>
      <c r="G89" s="2"/>
    </row>
    <row r="90" spans="1:7" x14ac:dyDescent="0.3">
      <c r="A90" s="2"/>
      <c r="B90" s="2"/>
      <c r="C90" s="2"/>
      <c r="D90" s="2"/>
      <c r="E90" s="2"/>
      <c r="F90" s="2"/>
      <c r="G90" s="2"/>
    </row>
    <row r="91" spans="1:7" x14ac:dyDescent="0.3">
      <c r="A91" s="2"/>
      <c r="B91" s="2"/>
      <c r="C91" s="2"/>
      <c r="D91" s="2"/>
      <c r="E91" s="2"/>
      <c r="F91" s="2"/>
      <c r="G91" s="2"/>
    </row>
    <row r="92" spans="1:7" x14ac:dyDescent="0.3">
      <c r="A92" s="2"/>
      <c r="B92" s="2"/>
      <c r="C92" s="2"/>
      <c r="D92" s="2"/>
      <c r="E92" s="2"/>
      <c r="F92" s="2"/>
      <c r="G92" s="2"/>
    </row>
    <row r="93" spans="1:7" x14ac:dyDescent="0.3">
      <c r="A93" s="2"/>
      <c r="B93" s="2"/>
      <c r="C93" s="2"/>
      <c r="D93" s="2"/>
      <c r="E93" s="2"/>
      <c r="F93" s="2"/>
      <c r="G93" s="2"/>
    </row>
    <row r="94" spans="1:7" x14ac:dyDescent="0.3">
      <c r="A94" s="2"/>
      <c r="B94" s="2"/>
      <c r="C94" s="2"/>
      <c r="D94" s="2"/>
      <c r="E94" s="2"/>
      <c r="F94" s="2"/>
      <c r="G94" s="2"/>
    </row>
    <row r="95" spans="1:7" x14ac:dyDescent="0.3">
      <c r="A95" s="2"/>
      <c r="B95" s="2"/>
      <c r="C95" s="2"/>
      <c r="D95" s="2"/>
      <c r="E95" s="2"/>
      <c r="F95" s="2"/>
      <c r="G95" s="2"/>
    </row>
    <row r="96" spans="1:7" x14ac:dyDescent="0.3">
      <c r="A96" s="2"/>
      <c r="B96" s="2"/>
      <c r="C96" s="2"/>
      <c r="D96" s="2"/>
      <c r="E96" s="2"/>
      <c r="F96" s="2"/>
      <c r="G96" s="2"/>
    </row>
    <row r="97" spans="1:7" x14ac:dyDescent="0.3">
      <c r="A97" s="2"/>
      <c r="B97" s="2"/>
      <c r="C97" s="2"/>
      <c r="D97" s="2"/>
      <c r="E97" s="2"/>
      <c r="F97" s="2"/>
      <c r="G97" s="2"/>
    </row>
    <row r="98" spans="1:7" x14ac:dyDescent="0.3">
      <c r="A98" s="2"/>
      <c r="B98" s="2"/>
      <c r="C98" s="2"/>
      <c r="D98" s="2"/>
      <c r="E98" s="2"/>
      <c r="F98" s="2"/>
      <c r="G98" s="2"/>
    </row>
    <row r="99" spans="1:7" x14ac:dyDescent="0.3">
      <c r="A99" s="2"/>
      <c r="B99" s="2"/>
      <c r="C99" s="2"/>
      <c r="D99" s="2"/>
      <c r="E99" s="2"/>
      <c r="F99" s="2"/>
      <c r="G99" s="2"/>
    </row>
    <row r="100" spans="1:7" x14ac:dyDescent="0.3">
      <c r="A100" s="2"/>
      <c r="B100" s="2"/>
      <c r="C100" s="2"/>
      <c r="D100" s="2"/>
      <c r="E100" s="2"/>
      <c r="F100" s="2"/>
      <c r="G100" s="2"/>
    </row>
    <row r="101" spans="1:7" x14ac:dyDescent="0.3">
      <c r="A101" s="2"/>
      <c r="B101" s="2"/>
      <c r="C101" s="2"/>
      <c r="D101" s="2"/>
      <c r="E101" s="2"/>
      <c r="F101" s="2"/>
      <c r="G101" s="2"/>
    </row>
    <row r="102" spans="1:7" x14ac:dyDescent="0.3">
      <c r="A102" s="2"/>
      <c r="B102" s="2"/>
      <c r="C102" s="2"/>
      <c r="D102" s="2"/>
      <c r="E102" s="2"/>
      <c r="F102" s="2"/>
      <c r="G102" s="2"/>
    </row>
    <row r="103" spans="1:7" x14ac:dyDescent="0.3">
      <c r="A103" s="2"/>
      <c r="B103" s="2"/>
      <c r="C103" s="2"/>
      <c r="D103" s="2"/>
      <c r="E103" s="2"/>
      <c r="F103" s="2"/>
      <c r="G103" s="2"/>
    </row>
    <row r="104" spans="1:7" x14ac:dyDescent="0.3">
      <c r="A104" s="2"/>
      <c r="B104" s="2"/>
      <c r="C104" s="2"/>
      <c r="D104" s="2"/>
      <c r="E104" s="2"/>
      <c r="F104" s="2"/>
      <c r="G104" s="2"/>
    </row>
    <row r="105" spans="1:7" x14ac:dyDescent="0.3">
      <c r="A105" s="2"/>
      <c r="B105" s="2"/>
      <c r="C105" s="2"/>
      <c r="D105" s="2"/>
      <c r="E105" s="2"/>
      <c r="F105" s="2"/>
      <c r="G105" s="2"/>
    </row>
    <row r="106" spans="1:7" x14ac:dyDescent="0.3">
      <c r="A106" s="2"/>
      <c r="B106" s="2"/>
      <c r="C106" s="2"/>
      <c r="D106" s="2"/>
      <c r="E106" s="2"/>
      <c r="F106" s="2"/>
      <c r="G106" s="2"/>
    </row>
    <row r="107" spans="1:7" x14ac:dyDescent="0.3">
      <c r="A107" s="2"/>
      <c r="B107" s="2"/>
      <c r="C107" s="2"/>
      <c r="D107" s="2"/>
      <c r="E107" s="2"/>
      <c r="F107" s="2"/>
      <c r="G107" s="2"/>
    </row>
    <row r="108" spans="1:7" x14ac:dyDescent="0.3">
      <c r="A108" s="2"/>
      <c r="B108" s="2"/>
      <c r="C108" s="2"/>
      <c r="D108" s="2"/>
      <c r="E108" s="2"/>
      <c r="F108" s="2"/>
      <c r="G108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"/>
  <sheetViews>
    <sheetView workbookViewId="0">
      <selection sqref="A1:F26"/>
    </sheetView>
  </sheetViews>
  <sheetFormatPr defaultRowHeight="14.4" x14ac:dyDescent="0.3"/>
  <cols>
    <col min="1" max="6" width="25" customWidth="1"/>
  </cols>
  <sheetData>
    <row r="1" spans="1:6" x14ac:dyDescent="0.3">
      <c r="A1" s="1" t="s">
        <v>16</v>
      </c>
      <c r="B1" s="1" t="s">
        <v>18</v>
      </c>
      <c r="C1" s="1" t="s">
        <v>22</v>
      </c>
      <c r="D1" s="1" t="s">
        <v>19</v>
      </c>
      <c r="E1" s="1" t="s">
        <v>23</v>
      </c>
      <c r="F1" s="1" t="s">
        <v>15</v>
      </c>
    </row>
    <row r="2" spans="1:6" x14ac:dyDescent="0.3">
      <c r="A2" s="2"/>
      <c r="B2" s="2"/>
      <c r="C2" s="2"/>
      <c r="D2" s="2"/>
      <c r="E2" s="2"/>
      <c r="F2" s="2"/>
    </row>
    <row r="3" spans="1:6" x14ac:dyDescent="0.3">
      <c r="A3" s="2"/>
      <c r="B3" s="2"/>
      <c r="C3" s="2"/>
      <c r="D3" s="2"/>
      <c r="E3" s="2"/>
      <c r="F3" s="2"/>
    </row>
    <row r="4" spans="1:6" x14ac:dyDescent="0.3">
      <c r="A4" s="2"/>
      <c r="B4" s="2"/>
      <c r="C4" s="2"/>
      <c r="D4" s="2"/>
      <c r="E4" s="2"/>
      <c r="F4" s="2"/>
    </row>
    <row r="5" spans="1:6" x14ac:dyDescent="0.3">
      <c r="A5" s="2"/>
      <c r="B5" s="2"/>
      <c r="C5" s="2"/>
      <c r="D5" s="2"/>
      <c r="E5" s="2"/>
      <c r="F5" s="2"/>
    </row>
    <row r="6" spans="1:6" x14ac:dyDescent="0.3">
      <c r="A6" s="2"/>
      <c r="B6" s="2"/>
      <c r="C6" s="2"/>
      <c r="D6" s="2"/>
      <c r="E6" s="2"/>
      <c r="F6" s="2"/>
    </row>
    <row r="7" spans="1:6" x14ac:dyDescent="0.3">
      <c r="A7" s="2"/>
      <c r="B7" s="2"/>
      <c r="C7" s="2"/>
      <c r="D7" s="2"/>
      <c r="E7" s="2"/>
      <c r="F7" s="2"/>
    </row>
    <row r="8" spans="1:6" x14ac:dyDescent="0.3">
      <c r="A8" s="2"/>
      <c r="B8" s="2"/>
      <c r="C8" s="2"/>
      <c r="D8" s="2"/>
      <c r="E8" s="2"/>
      <c r="F8" s="2"/>
    </row>
    <row r="9" spans="1:6" x14ac:dyDescent="0.3">
      <c r="A9" s="2"/>
      <c r="B9" s="2"/>
      <c r="C9" s="2"/>
      <c r="D9" s="2"/>
      <c r="E9" s="2"/>
      <c r="F9" s="2"/>
    </row>
    <row r="10" spans="1:6" x14ac:dyDescent="0.3">
      <c r="A10" s="2"/>
      <c r="B10" s="2"/>
      <c r="C10" s="2"/>
      <c r="D10" s="2"/>
      <c r="E10" s="2"/>
      <c r="F10" s="2"/>
    </row>
    <row r="11" spans="1:6" x14ac:dyDescent="0.3">
      <c r="A11" s="2"/>
      <c r="B11" s="2"/>
      <c r="C11" s="2"/>
      <c r="D11" s="2"/>
      <c r="E11" s="2"/>
      <c r="F11" s="2"/>
    </row>
    <row r="12" spans="1:6" x14ac:dyDescent="0.3">
      <c r="A12" s="2"/>
      <c r="B12" s="2"/>
      <c r="C12" s="2"/>
      <c r="D12" s="2"/>
      <c r="E12" s="2"/>
      <c r="F12" s="2"/>
    </row>
    <row r="13" spans="1:6" x14ac:dyDescent="0.3">
      <c r="A13" s="2"/>
      <c r="B13" s="2"/>
      <c r="C13" s="2"/>
      <c r="D13" s="2"/>
      <c r="E13" s="2"/>
      <c r="F13" s="2"/>
    </row>
    <row r="14" spans="1:6" x14ac:dyDescent="0.3">
      <c r="A14" s="2"/>
      <c r="B14" s="2"/>
      <c r="C14" s="2"/>
      <c r="D14" s="2"/>
      <c r="E14" s="2"/>
      <c r="F14" s="2"/>
    </row>
    <row r="15" spans="1:6" x14ac:dyDescent="0.3">
      <c r="A15" s="2"/>
      <c r="B15" s="2"/>
      <c r="C15" s="2"/>
      <c r="D15" s="2"/>
      <c r="E15" s="2"/>
      <c r="F15" s="2"/>
    </row>
    <row r="16" spans="1:6" x14ac:dyDescent="0.3">
      <c r="A16" s="2"/>
      <c r="B16" s="2"/>
      <c r="C16" s="2"/>
      <c r="D16" s="2"/>
      <c r="E16" s="2"/>
      <c r="F16" s="2"/>
    </row>
    <row r="17" spans="1:6" x14ac:dyDescent="0.3">
      <c r="A17" s="2"/>
      <c r="B17" s="2"/>
      <c r="C17" s="2"/>
      <c r="D17" s="2"/>
      <c r="E17" s="2"/>
      <c r="F17" s="2"/>
    </row>
    <row r="18" spans="1:6" x14ac:dyDescent="0.3">
      <c r="A18" s="2"/>
      <c r="B18" s="2"/>
      <c r="C18" s="2"/>
      <c r="D18" s="2"/>
      <c r="E18" s="2"/>
      <c r="F18" s="2"/>
    </row>
    <row r="19" spans="1:6" x14ac:dyDescent="0.3">
      <c r="A19" s="2"/>
      <c r="B19" s="2"/>
      <c r="C19" s="2"/>
      <c r="D19" s="2"/>
      <c r="E19" s="2"/>
      <c r="F19" s="2"/>
    </row>
    <row r="20" spans="1:6" x14ac:dyDescent="0.3">
      <c r="A20" s="2"/>
      <c r="B20" s="2"/>
      <c r="C20" s="2"/>
      <c r="D20" s="2"/>
      <c r="E20" s="2"/>
      <c r="F20" s="2"/>
    </row>
    <row r="21" spans="1:6" x14ac:dyDescent="0.3">
      <c r="A21" s="2"/>
      <c r="B21" s="2"/>
      <c r="C21" s="2"/>
      <c r="D21" s="2"/>
      <c r="E21" s="2"/>
      <c r="F21" s="2"/>
    </row>
    <row r="22" spans="1:6" x14ac:dyDescent="0.3">
      <c r="A22" s="2"/>
      <c r="B22" s="2"/>
      <c r="C22" s="2"/>
      <c r="D22" s="2"/>
      <c r="E22" s="2"/>
      <c r="F22" s="2"/>
    </row>
    <row r="23" spans="1:6" x14ac:dyDescent="0.3">
      <c r="A23" s="2"/>
      <c r="B23" s="2"/>
      <c r="C23" s="2"/>
      <c r="D23" s="2"/>
      <c r="E23" s="2"/>
      <c r="F23" s="2"/>
    </row>
    <row r="24" spans="1:6" x14ac:dyDescent="0.3">
      <c r="A24" s="2"/>
      <c r="B24" s="2"/>
      <c r="C24" s="2"/>
      <c r="D24" s="2"/>
      <c r="E24" s="2"/>
      <c r="F24" s="2"/>
    </row>
    <row r="25" spans="1:6" x14ac:dyDescent="0.3">
      <c r="A25" s="2"/>
      <c r="B25" s="2"/>
      <c r="C25" s="2"/>
      <c r="D25" s="2"/>
      <c r="E25" s="2"/>
      <c r="F25" s="2"/>
    </row>
    <row r="26" spans="1:6" x14ac:dyDescent="0.3">
      <c r="A26" s="2"/>
      <c r="B26" s="2"/>
      <c r="C26" s="2"/>
      <c r="D26" s="2"/>
      <c r="E26" s="2"/>
      <c r="F2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Controle de Estoque</vt:lpstr>
      <vt:lpstr>Clientes</vt:lpstr>
      <vt:lpstr>Vendas Realizadas</vt:lpstr>
      <vt:lpstr>Entrada e Saída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Anne Caroline Acosta Bragança Coelho</cp:lastModifiedBy>
  <dcterms:created xsi:type="dcterms:W3CDTF">2026-04-30T12:50:26Z</dcterms:created>
  <dcterms:modified xsi:type="dcterms:W3CDTF">2026-05-13T15:41:06Z</dcterms:modified>
</cp:coreProperties>
</file>